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12" documentId="11_A80FE5E2ACD69A45CED96DAC2C20FA380087440C" xr6:coauthVersionLast="47" xr6:coauthVersionMax="47" xr10:uidLastSave="{46DD2484-AC68-423F-B482-8BEF6DBAA9E5}"/>
  <bookViews>
    <workbookView xWindow="720" yWindow="765" windowWidth="18945" windowHeight="9945" xr2:uid="{00000000-000D-0000-FFFF-FFFF00000000}"/>
  </bookViews>
  <sheets>
    <sheet name="KW 30-34" sheetId="1" r:id="rId1"/>
    <sheet name="KW 21-25" sheetId="2" r:id="rId2"/>
    <sheet name="KW 22-26" sheetId="3" r:id="rId3"/>
  </sheets>
  <definedNames>
    <definedName name="_xlnm.Print_Area" localSheetId="1">'KW 21-25'!$A$1:$CC$130</definedName>
    <definedName name="_xlnm.Print_Area" localSheetId="2">'KW 22-26'!$A$1:$CC$122</definedName>
    <definedName name="_xlnm.Print_Area" localSheetId="0">'KW 30-34'!$A$1:$CF$124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D4" i="3" s="1"/>
  <c r="F4" i="3" s="1"/>
  <c r="H4" i="3" s="1"/>
  <c r="J4" i="3" s="1"/>
  <c r="L4" i="3" s="1"/>
  <c r="N4" i="3" s="1"/>
  <c r="P4" i="3" s="1"/>
  <c r="B3" i="3"/>
  <c r="B4" i="2"/>
  <c r="D4" i="2" s="1"/>
  <c r="F4" i="2" s="1"/>
  <c r="H4" i="2" s="1"/>
  <c r="J4" i="2" s="1"/>
  <c r="L4" i="2" s="1"/>
  <c r="N4" i="2" s="1"/>
  <c r="P4" i="2" s="1"/>
  <c r="B3" i="2"/>
  <c r="D4" i="1"/>
  <c r="F4" i="1" s="1"/>
  <c r="H4" i="1" s="1"/>
  <c r="J4" i="1" s="1"/>
  <c r="L4" i="1" s="1"/>
  <c r="N4" i="1" s="1"/>
  <c r="P4" i="1" s="1"/>
  <c r="B4" i="1"/>
  <c r="B3" i="1"/>
  <c r="R4" i="2" l="1"/>
  <c r="T4" i="2" s="1"/>
  <c r="V4" i="2" s="1"/>
  <c r="X4" i="2" s="1"/>
  <c r="Z4" i="2" s="1"/>
  <c r="AB4" i="2" s="1"/>
  <c r="AD4" i="2" s="1"/>
  <c r="P3" i="2"/>
  <c r="R4" i="1"/>
  <c r="T4" i="1" s="1"/>
  <c r="V4" i="1" s="1"/>
  <c r="X4" i="1" s="1"/>
  <c r="Z4" i="1" s="1"/>
  <c r="AB4" i="1" s="1"/>
  <c r="AD4" i="1" s="1"/>
  <c r="P3" i="1"/>
  <c r="R4" i="3"/>
  <c r="T4" i="3" s="1"/>
  <c r="V4" i="3" s="1"/>
  <c r="X4" i="3" s="1"/>
  <c r="Z4" i="3" s="1"/>
  <c r="AB4" i="3" s="1"/>
  <c r="AD4" i="3" s="1"/>
  <c r="P3" i="3"/>
  <c r="AD3" i="3" l="1"/>
  <c r="AF4" i="3"/>
  <c r="AH4" i="3" s="1"/>
  <c r="AJ4" i="3" s="1"/>
  <c r="AL4" i="3" s="1"/>
  <c r="AN4" i="3" s="1"/>
  <c r="AP4" i="3" s="1"/>
  <c r="AR4" i="3" s="1"/>
  <c r="AF4" i="1"/>
  <c r="AH4" i="1" s="1"/>
  <c r="AJ4" i="1" s="1"/>
  <c r="AL4" i="1" s="1"/>
  <c r="AN4" i="1" s="1"/>
  <c r="AP4" i="1" s="1"/>
  <c r="AR4" i="1" s="1"/>
  <c r="AD3" i="1"/>
  <c r="AD3" i="2"/>
  <c r="AF4" i="2"/>
  <c r="AH4" i="2" s="1"/>
  <c r="AJ4" i="2" s="1"/>
  <c r="AL4" i="2" s="1"/>
  <c r="AN4" i="2" s="1"/>
  <c r="AP4" i="2" s="1"/>
  <c r="AR4" i="2" s="1"/>
  <c r="AT4" i="1" l="1"/>
  <c r="AV4" i="1" s="1"/>
  <c r="AX4" i="1" s="1"/>
  <c r="AZ4" i="1" s="1"/>
  <c r="BB4" i="1" s="1"/>
  <c r="BD4" i="1" s="1"/>
  <c r="BF4" i="1" s="1"/>
  <c r="AR3" i="1"/>
  <c r="AT4" i="3"/>
  <c r="AV4" i="3" s="1"/>
  <c r="AX4" i="3" s="1"/>
  <c r="AZ4" i="3" s="1"/>
  <c r="BB4" i="3" s="1"/>
  <c r="BD4" i="3" s="1"/>
  <c r="BF4" i="3" s="1"/>
  <c r="AR3" i="3"/>
  <c r="AT4" i="2"/>
  <c r="AV4" i="2" s="1"/>
  <c r="AX4" i="2" s="1"/>
  <c r="AZ4" i="2" s="1"/>
  <c r="BB4" i="2" s="1"/>
  <c r="BD4" i="2" s="1"/>
  <c r="BF4" i="2" s="1"/>
  <c r="AR3" i="2"/>
  <c r="BF3" i="2" l="1"/>
  <c r="BH4" i="2"/>
  <c r="BJ4" i="2" s="1"/>
  <c r="BL4" i="2" s="1"/>
  <c r="BN4" i="2" s="1"/>
  <c r="BP4" i="2" s="1"/>
  <c r="BR4" i="2" s="1"/>
  <c r="BH4" i="3"/>
  <c r="BJ4" i="3" s="1"/>
  <c r="BL4" i="3" s="1"/>
  <c r="BN4" i="3" s="1"/>
  <c r="BP4" i="3" s="1"/>
  <c r="BR4" i="3" s="1"/>
  <c r="BF3" i="3"/>
  <c r="BH4" i="1"/>
  <c r="BJ4" i="1" s="1"/>
  <c r="BL4" i="1" s="1"/>
  <c r="BN4" i="1" s="1"/>
  <c r="BP4" i="1" s="1"/>
  <c r="BR4" i="1" s="1"/>
  <c r="B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<sst xmlns="http://schemas.openxmlformats.org/spreadsheetml/2006/main" count="595" uniqueCount="223">
  <si>
    <t>5-Wochenprogramm</t>
  </si>
  <si>
    <t>Baustelle</t>
  </si>
  <si>
    <t>RKDO NalpSolar</t>
  </si>
  <si>
    <t>Polier</t>
  </si>
  <si>
    <t>Samuel Decurtins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</si>
  <si>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</si>
  <si>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</si>
  <si>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</si>
  <si>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</si>
  <si>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</si>
  <si>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</si>
  <si>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</si>
  <si>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</si>
  <si>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</si>
  <si>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</si>
  <si>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</si>
  <si>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</si>
  <si>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ABSTECKUNG UND BOHREN</t>
  </si>
  <si>
    <t xml:space="preserve">  2 Bohrgruppen durchgehend - der neue Euromac (01.08.) ERSETZT den alten Muk</t>
  </si>
  <si>
    <t xml:space="preserve">  Absteckung 26_5.2 / 5.3 / 5.4  (Rev A9 v. 10.07.)</t>
  </si>
  <si>
    <t xml:space="preserve">  Absteckung 26_6.1 / 6.2 + BP_B_8 bis B_10</t>
  </si>
  <si>
    <t xml:space="preserve">  26_4.3 GEBOHRT - Pfaehle einsetzen (Roter Kran, Boei)</t>
  </si>
  <si>
    <t xml:space="preserve">  Bohren 26_5.2 (75 Stz) - ab Mi 22.07. roter Muk, weiter oben</t>
  </si>
  <si>
    <t xml:space="preserve">  Bohren 26_1.6 (25 Stz) - gelber Muk HEUTE runter (Mi 22.07.)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</si>
  <si>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</si>
  <si>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</si>
  <si>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</si>
  <si>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</si>
  <si>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(62 Stz) - Mo-Di roter Muk, Rest gelber Muk</t>
  </si>
  <si>
    <t xml:space="preserve">  Bohren 26_5.1 ausserhalb Alpwuestungen (76 Stz)           G2</t>
  </si>
  <si>
    <t xml:space="preserve">  Bohren 26_5.1 Alpwuestungen - NUR mit ADG-Begleitung!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</si>
  <si>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</si>
  <si>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</si>
  <si>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</si>
  <si>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Injektion uebrige Bereiche (Nachlauf ~2 Tage) - Freigabe fuer Pfahlkopfplatten</t>
  </si>
  <si>
    <t xml:space="preserve">  Redrills / Nachbohrungen  (Reserve)</t>
  </si>
  <si>
    <t>2)  STAHLBAU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</si>
  <si>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</si>
  <si>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</si>
  <si>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Lieferungen / Bestellungen Passstuecke</t>
  </si>
  <si>
    <t xml:space="preserve">    Batch 8  (2.1 + 2.2, 100 Stk) - zugesagt 27.07.</t>
  </si>
  <si>
    <t>X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</si>
  <si>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</si>
  <si>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</si>
  <si>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</si>
  <si>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</si>
  <si>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Primaerkonstruktion Berg  (Grundsatz: immer EIN Bereich)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</si>
  <si>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</si>
  <si>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</si>
  <si>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</si>
  <si>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</si>
  <si>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  26_2.1 + 26_2.2  -&gt;  Start Do 23.07. (Stapel 45 frueh runter)</t>
  </si>
  <si>
    <t xml:space="preserve">    STAMMTEAM FREI</t>
  </si>
  <si>
    <t xml:space="preserve">    ERSATZTEAM: 26_2.1 / 2.2 durchziehen - ohne Unterbruch</t>
  </si>
  <si>
    <t xml:space="preserve">    26_2.1 + 26_2.2 FERTIG  -&gt;  bis Mi 05.08. (KW32)</t>
  </si>
  <si>
    <t xml:space="preserve">    8 Tische geaenderte Hoehen  26_1.1 / 1.2 / 1.3  - ab Do 06.08.</t>
  </si>
  <si>
    <t xml:space="preserve">    Baupiste B2 / Etappe 2 (9 T.) - Passstuecke muessen da sein!</t>
  </si>
  <si>
    <t xml:space="preserve">    26_4.1 - Reserve KW34, nur wenn Batch 9 rechtzeitig da</t>
  </si>
  <si>
    <t xml:space="preserve">    Stapel 36 -&gt; 26_2.1 folgt | Reserve: Rest 26_2.2 falls 05.08. nicht erreicht</t>
  </si>
  <si>
    <t xml:space="preserve">  Pfahlkopfplatten</t>
  </si>
  <si>
    <t xml:space="preserve">    26_2.1 + 26_2.2 komplett - bis Fr 24.07. montiert UND QM-bestaetigt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</si>
  <si>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</si>
  <si>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</si>
  <si>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</si>
  <si>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Modultraeger / Stapel</t>
  </si>
  <si>
    <t xml:space="preserve">    Stapel 39 / 42 / 43 / 44 (+ Teile 45) -&gt; 26_3.1</t>
  </si>
  <si>
    <t xml:space="preserve">    Stapel 45 -&gt; 26_2.1  (letzte Traeger heute Mi, Stapel Do 23.07. frueh runter)</t>
  </si>
  <si>
    <t xml:space="preserve">    Stapel 46 + 47 -&gt; 26_2.2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</si>
  <si>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</si>
  <si>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</si>
  <si>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</si>
  <si>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</si>
  <si>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</si>
  <si>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</si>
  <si>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</si>
  <si>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C2 unten</t>
  </si>
  <si>
    <t xml:space="preserve">  FV Strang C: C3 / C4 oben ab Schacht</t>
  </si>
  <si>
    <t xml:space="preserve">  FV Strang C: C5 / C2 oben  (Notfall: kleiner Bagger)</t>
  </si>
  <si>
    <t xml:space="preserve">  Koordinatenaufnahme + Doku FV (Noel) - Aushub IMMER auf Geotextil</t>
  </si>
  <si>
    <t xml:space="preserve">  Graben bis Schacht D1 fertigstellen</t>
  </si>
  <si>
    <t xml:space="preserve">  Piste D  (Fabian Bissig erst ab KW32 zurueck)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</si>
  <si>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</si>
  <si>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</si>
  <si>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</si>
  <si>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</si>
  <si>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</si>
  <si>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</si>
  <si>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Betonspur -&gt; September (ausserhalb 5-Wochen-Fenster)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</si>
  <si>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</si>
  <si>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</si>
  <si>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</si>
  <si>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</si>
  <si>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</si>
  <si>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</si>
  <si>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</si>
  <si>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TEAM: PIZZAESSEN  -  Fr 21.08. mittags</t>
  </si>
  <si>
    <t>5)  UBB / UMWELT / SICHERHEIT</t>
  </si>
  <si>
    <t xml:space="preserve">  UBB-Rueckmeldung Begehung 16.07. einfordern (ueberfaellig)</t>
  </si>
  <si>
    <t xml:space="preserve">  26_1.4 + 26_1.5 sofort auszaeunen (fertig Di abend)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</si>
  <si>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</si>
  <si>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</si>
  <si>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</si>
  <si>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</si>
  <si>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</si>
  <si>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(Wunschwoche 27.-31.07.)</t>
  </si>
  <si>
    <t xml:space="preserve">  Gewaesserraum 5.5 m an ILF fuer weitere Baupisten; Birkhuhn-Schild abbauen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</si>
  <si>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</si>
  <si>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</si>
  <si>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Personalbedarf (inkl. Polier)</t>
  </si>
  <si>
    <t>Bemerkungen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</si>
  <si>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</si>
  <si>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</t>
  </si>
  <si>
    <t>Neuer Euromac ab 01.08. - ERSETZT den alten Muk,
es bleibt bei 2 Bohrgruppen
01.08.: Schrauben-Bestellbatch 3 raus
Alexander Ferien 03.-14.08. | Luka Ferien
Stahlbau: 2.1 + 2.2 fertig bis Mi 05.08.,
danach falsche Hoehen 1.1/1.2/1.3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</si>
  <si>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</si>
  <si>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</si>
  <si>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</si>
  <si>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</si>
  <si>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</si>
  <si>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</si>
  <si>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</si>
  <si>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</si>
  <si>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</si>
  <si>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</si>
  <si>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</si>
  <si>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</si>
  <si>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</si>
  <si>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</si>
  <si>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</si>
  <si>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</si>
  <si>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</si>
  <si>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</si>
  <si>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>A</t>
  </si>
  <si>
    <t>E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</si>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</sst>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15" x14ac:knownFonts="1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</fonts>
  <fills count="4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92D05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0" fillId="36" borderId="4" xfId="0" applyFill="1" applyBorder="1" applyProtection="1">
      <protection locked="0"/>
    </xf>
    <xf numFmtId="0" fontId="0" fillId="36" borderId="6" xfId="0" applyFill="1" applyBorder="1" applyProtection="1">
      <protection locked="0"/>
    </xf>
    <xf numFmtId="0" fontId="0" fillId="37" borderId="4" xfId="0" applyFill="1" applyBorder="1" applyProtection="1">
      <protection locked="0"/>
    </xf>
    <xf numFmtId="0" fontId="0" fillId="37" borderId="6" xfId="0" applyFill="1" applyBorder="1" applyProtection="1">
      <protection locked="0"/>
    </xf>
    <xf numFmtId="0" fontId="0" fillId="38" borderId="26" xfId="0" applyFill="1" applyBorder="1" applyProtection="1">
      <protection locked="0"/>
    </xf>
    <xf numFmtId="0" fontId="0" fillId="38" borderId="6" xfId="0" applyFill="1" applyBorder="1" applyProtection="1">
      <protection locked="0"/>
    </xf>
    <xf numFmtId="0" fontId="0" fillId="38" borderId="4" xfId="0" applyFill="1" applyBorder="1" applyProtection="1">
      <protection locked="0"/>
    </xf>
    <xf numFmtId="0" fontId="0" fillId="39" borderId="4" xfId="0" applyFill="1" applyBorder="1" applyProtection="1">
      <protection locked="0"/>
    </xf>
    <xf numFmtId="0" fontId="0" fillId="39" borderId="6" xfId="0" applyFill="1" applyBorder="1" applyProtection="1">
      <protection locked="0"/>
    </xf>
    <xf numFmtId="0" fontId="0" fillId="39" borderId="26" xfId="0" applyFill="1" applyBorder="1" applyProtection="1">
      <protection locked="0"/>
    </xf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2" xfId="0" applyFill="1" applyBorder="1" applyAlignment="1">
      <alignment horizontal="center"/>
    </xf>
    <xf numFmtId="0" fontId="0" fillId="0" borderId="30" xfId="0" applyBorder="1"/>
    <xf numFmtId="0" fontId="2" fillId="2" borderId="29" xfId="0" applyFont="1" applyFill="1" applyBorder="1" applyAlignment="1">
      <alignment horizontal="center"/>
    </xf>
    <xf numFmtId="0" fontId="0" fillId="0" borderId="25" xfId="0" applyBorder="1"/>
    <xf numFmtId="0" fontId="0" fillId="0" borderId="29" xfId="0" applyBorder="1"/>
    <xf numFmtId="0" fontId="1" fillId="3" borderId="14" xfId="0" applyFont="1" applyFill="1" applyBorder="1" applyAlignment="1">
      <alignment horizontal="left"/>
    </xf>
    <xf numFmtId="0" fontId="0" fillId="0" borderId="14" xfId="0" applyBorder="1"/>
    <xf numFmtId="0" fontId="0" fillId="2" borderId="9" xfId="0" applyFill="1" applyBorder="1" applyAlignment="1">
      <alignment horizontal="center"/>
    </xf>
    <xf numFmtId="0" fontId="2" fillId="2" borderId="27" xfId="0" applyFont="1" applyFill="1" applyBorder="1" applyAlignment="1" applyProtection="1">
      <alignment horizontal="center"/>
      <protection locked="0"/>
    </xf>
    <xf numFmtId="0" fontId="1" fillId="3" borderId="18" xfId="0" applyFont="1" applyFill="1" applyBorder="1" applyAlignment="1">
      <alignment horizontal="left"/>
    </xf>
    <xf numFmtId="0" fontId="0" fillId="0" borderId="18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0" fillId="2" borderId="37" xfId="0" applyFill="1" applyBorder="1" applyAlignment="1">
      <alignment horizontal="center"/>
    </xf>
    <xf numFmtId="0" fontId="0" fillId="0" borderId="24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2" fillId="2" borderId="7" xfId="0" applyFont="1" applyFill="1" applyBorder="1" applyAlignment="1">
      <alignment horizontal="center"/>
    </xf>
    <xf numFmtId="164" fontId="0" fillId="2" borderId="21" xfId="0" applyNumberFormat="1" applyFill="1" applyBorder="1" applyAlignment="1">
      <alignment horizontal="center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1" fillId="3" borderId="52" xfId="0" applyFont="1" applyFill="1" applyBorder="1" applyAlignment="1">
      <alignment horizontal="right" wrapText="1"/>
    </xf>
    <xf numFmtId="0" fontId="0" fillId="0" borderId="17" xfId="0" applyBorder="1"/>
    <xf numFmtId="0" fontId="0" fillId="0" borderId="19" xfId="0" applyBorder="1"/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0" fillId="2" borderId="30" xfId="0" applyFill="1" applyBorder="1" applyAlignment="1">
      <alignment horizontal="center"/>
    </xf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6" xfId="0" applyFill="1" applyBorder="1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0</xdr:colOff>
      <xdr:row>0</xdr:row>
      <xdr:rowOff>0</xdr:rowOff>
    </xdr:from>
    <xdr:to>
      <xdr:col>82</xdr:col>
      <xdr:colOff>47616</xdr:colOff>
      <xdr:row>124</xdr:row>
      <xdr:rowOff>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AC4B6C9-286C-8D0B-B6E6-9528EA28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97350" y="0"/>
          <a:ext cx="7191366" cy="1977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16"/>
  <sheetViews>
    <sheetView tabSelected="1" zoomScale="70" zoomScaleNormal="70" workbookViewId="0">
      <selection activeCell="CC120" sqref="CC120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99" t="s">
        <v>0</v>
      </c>
      <c r="B1" s="189">
        <v>46223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68" t="s">
        <v>2</v>
      </c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91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91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92"/>
      <c r="BG1" s="169"/>
      <c r="BH1" s="169"/>
      <c r="BI1" s="169"/>
      <c r="BJ1" s="169"/>
      <c r="BK1" s="169"/>
      <c r="BL1" s="169"/>
      <c r="BM1" s="169"/>
      <c r="BN1" s="169"/>
      <c r="BO1" s="169"/>
      <c r="BP1" s="169"/>
      <c r="BQ1" s="169"/>
      <c r="BR1" s="169"/>
      <c r="BS1" s="193"/>
    </row>
    <row r="2" spans="1:71" ht="13.5" customHeight="1" thickBot="1" x14ac:dyDescent="0.25">
      <c r="A2" s="200"/>
      <c r="B2" s="185"/>
      <c r="C2" s="185"/>
      <c r="D2" s="185"/>
      <c r="E2" s="185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72" t="s">
        <v>4</v>
      </c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94"/>
    </row>
    <row r="3" spans="1:71" x14ac:dyDescent="0.2">
      <c r="A3" s="12" t="s">
        <v>5</v>
      </c>
      <c r="B3" s="165" t="str">
        <f>"Woche " &amp; WEEKNUM(B4)</f>
        <v>Woche 30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7"/>
      <c r="P3" s="187" t="str">
        <f>"Woche " &amp; WEEKNUM(P4)</f>
        <v>Woche 31</v>
      </c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7"/>
      <c r="AD3" s="187" t="str">
        <f>"Woche " &amp; WEEKNUM(AD4)</f>
        <v>Woche 32</v>
      </c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7"/>
      <c r="AR3" s="187" t="str">
        <f>"Woche " &amp; WEEKNUM(AR4)</f>
        <v>Woche 33</v>
      </c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6"/>
      <c r="BE3" s="167"/>
      <c r="BF3" s="187" t="str">
        <f>"Woche " &amp; WEEKNUM(BF4)</f>
        <v>Woche 34</v>
      </c>
      <c r="BG3" s="166"/>
      <c r="BH3" s="166"/>
      <c r="BI3" s="166"/>
      <c r="BJ3" s="166"/>
      <c r="BK3" s="166"/>
      <c r="BL3" s="166"/>
      <c r="BM3" s="166"/>
      <c r="BN3" s="166"/>
      <c r="BO3" s="166"/>
      <c r="BP3" s="166"/>
      <c r="BQ3" s="166"/>
      <c r="BR3" s="166"/>
      <c r="BS3" s="167"/>
    </row>
    <row r="4" spans="1:71" x14ac:dyDescent="0.2">
      <c r="A4" s="13" t="s">
        <v>6</v>
      </c>
      <c r="B4" s="174">
        <f>B1</f>
        <v>46223</v>
      </c>
      <c r="C4" s="175"/>
      <c r="D4" s="174">
        <f>B4+1</f>
        <v>46224</v>
      </c>
      <c r="E4" s="175"/>
      <c r="F4" s="174">
        <f>D4+1</f>
        <v>46225</v>
      </c>
      <c r="G4" s="175"/>
      <c r="H4" s="174">
        <f>F4+1</f>
        <v>46226</v>
      </c>
      <c r="I4" s="175"/>
      <c r="J4" s="174">
        <f>H4+1</f>
        <v>46227</v>
      </c>
      <c r="K4" s="175"/>
      <c r="L4" s="174">
        <f>J4+1</f>
        <v>46228</v>
      </c>
      <c r="M4" s="175"/>
      <c r="N4" s="174">
        <f>L4+1</f>
        <v>46229</v>
      </c>
      <c r="O4" s="175"/>
      <c r="P4" s="174">
        <f>N4+1</f>
        <v>46230</v>
      </c>
      <c r="Q4" s="175"/>
      <c r="R4" s="174">
        <f>P4+1</f>
        <v>46231</v>
      </c>
      <c r="S4" s="175"/>
      <c r="T4" s="174">
        <f>R4+1</f>
        <v>46232</v>
      </c>
      <c r="U4" s="175"/>
      <c r="V4" s="174">
        <f>T4+1</f>
        <v>46233</v>
      </c>
      <c r="W4" s="175"/>
      <c r="X4" s="174">
        <f>V4+1</f>
        <v>46234</v>
      </c>
      <c r="Y4" s="175"/>
      <c r="Z4" s="174">
        <f>X4+1</f>
        <v>46235</v>
      </c>
      <c r="AA4" s="175"/>
      <c r="AB4" s="188">
        <f>Z4+1</f>
        <v>46236</v>
      </c>
      <c r="AC4" s="175"/>
      <c r="AD4" s="188">
        <f>AB4+1</f>
        <v>46237</v>
      </c>
      <c r="AE4" s="175"/>
      <c r="AF4" s="174">
        <f>AD4+1</f>
        <v>46238</v>
      </c>
      <c r="AG4" s="175"/>
      <c r="AH4" s="174">
        <f>AF4+1</f>
        <v>46239</v>
      </c>
      <c r="AI4" s="175"/>
      <c r="AJ4" s="174">
        <f>AH4+1</f>
        <v>46240</v>
      </c>
      <c r="AK4" s="175"/>
      <c r="AL4" s="174">
        <f>AJ4+1</f>
        <v>46241</v>
      </c>
      <c r="AM4" s="175"/>
      <c r="AN4" s="174">
        <f>AL4+1</f>
        <v>46242</v>
      </c>
      <c r="AO4" s="175"/>
      <c r="AP4" s="174">
        <f>AN4+1</f>
        <v>46243</v>
      </c>
      <c r="AQ4" s="175"/>
      <c r="AR4" s="174">
        <f>AP4+1</f>
        <v>46244</v>
      </c>
      <c r="AS4" s="175"/>
      <c r="AT4" s="174">
        <f>AR4+1</f>
        <v>46245</v>
      </c>
      <c r="AU4" s="175"/>
      <c r="AV4" s="174">
        <f>AT4+1</f>
        <v>46246</v>
      </c>
      <c r="AW4" s="175"/>
      <c r="AX4" s="174">
        <f>AV4+1</f>
        <v>46247</v>
      </c>
      <c r="AY4" s="175"/>
      <c r="AZ4" s="174">
        <f>AX4+1</f>
        <v>46248</v>
      </c>
      <c r="BA4" s="175"/>
      <c r="BB4" s="174">
        <f>AZ4+1</f>
        <v>46249</v>
      </c>
      <c r="BC4" s="175"/>
      <c r="BD4" s="174">
        <f>BB4+1</f>
        <v>46250</v>
      </c>
      <c r="BE4" s="175"/>
      <c r="BF4" s="174">
        <f>BD4+1</f>
        <v>46251</v>
      </c>
      <c r="BG4" s="175"/>
      <c r="BH4" s="174">
        <f>BF4+1</f>
        <v>46252</v>
      </c>
      <c r="BI4" s="175"/>
      <c r="BJ4" s="174">
        <f>BH4+1</f>
        <v>46253</v>
      </c>
      <c r="BK4" s="175"/>
      <c r="BL4" s="174">
        <f>BJ4+1</f>
        <v>46254</v>
      </c>
      <c r="BM4" s="175"/>
      <c r="BN4" s="174">
        <f>BL4+1</f>
        <v>46255</v>
      </c>
      <c r="BO4" s="175"/>
      <c r="BP4" s="174">
        <f>BN4+1</f>
        <v>46256</v>
      </c>
      <c r="BQ4" s="175"/>
      <c r="BR4" s="174">
        <f>BP4+1</f>
        <v>46257</v>
      </c>
      <c r="BS4" s="175"/>
    </row>
    <row r="5" spans="1:71" x14ac:dyDescent="0.2">
      <c r="A5" s="75" t="s">
        <v>7</v>
      </c>
      <c r="B5" s="198" t="s">
        <v>8</v>
      </c>
      <c r="C5" s="164"/>
      <c r="D5" s="163" t="s">
        <v>9</v>
      </c>
      <c r="E5" s="164"/>
      <c r="F5" s="163" t="s">
        <v>10</v>
      </c>
      <c r="G5" s="164"/>
      <c r="H5" s="163" t="s">
        <v>11</v>
      </c>
      <c r="I5" s="164"/>
      <c r="J5" s="163" t="s">
        <v>12</v>
      </c>
      <c r="K5" s="164"/>
      <c r="L5" s="163" t="s">
        <v>13</v>
      </c>
      <c r="M5" s="164"/>
      <c r="N5" s="163" t="s">
        <v>14</v>
      </c>
      <c r="O5" s="164"/>
      <c r="P5" s="170" t="s">
        <v>8</v>
      </c>
      <c r="Q5" s="164"/>
      <c r="R5" s="163" t="s">
        <v>9</v>
      </c>
      <c r="S5" s="164"/>
      <c r="T5" s="163" t="s">
        <v>10</v>
      </c>
      <c r="U5" s="164"/>
      <c r="V5" s="163" t="s">
        <v>11</v>
      </c>
      <c r="W5" s="164"/>
      <c r="X5" s="163" t="s">
        <v>12</v>
      </c>
      <c r="Y5" s="164"/>
      <c r="Z5" s="163" t="s">
        <v>13</v>
      </c>
      <c r="AA5" s="164"/>
      <c r="AB5" s="163" t="s">
        <v>14</v>
      </c>
      <c r="AC5" s="164"/>
      <c r="AD5" s="170" t="s">
        <v>8</v>
      </c>
      <c r="AE5" s="164"/>
      <c r="AF5" s="163" t="s">
        <v>9</v>
      </c>
      <c r="AG5" s="164"/>
      <c r="AH5" s="163" t="s">
        <v>10</v>
      </c>
      <c r="AI5" s="164"/>
      <c r="AJ5" s="163" t="s">
        <v>11</v>
      </c>
      <c r="AK5" s="164"/>
      <c r="AL5" s="163" t="s">
        <v>12</v>
      </c>
      <c r="AM5" s="164"/>
      <c r="AN5" s="163" t="s">
        <v>13</v>
      </c>
      <c r="AO5" s="164"/>
      <c r="AP5" s="163" t="s">
        <v>14</v>
      </c>
      <c r="AQ5" s="164"/>
      <c r="AR5" s="170" t="s">
        <v>8</v>
      </c>
      <c r="AS5" s="164"/>
      <c r="AT5" s="163" t="s">
        <v>9</v>
      </c>
      <c r="AU5" s="164"/>
      <c r="AV5" s="163" t="s">
        <v>10</v>
      </c>
      <c r="AW5" s="164"/>
      <c r="AX5" s="163" t="s">
        <v>11</v>
      </c>
      <c r="AY5" s="164"/>
      <c r="AZ5" s="163" t="s">
        <v>12</v>
      </c>
      <c r="BA5" s="164"/>
      <c r="BB5" s="163" t="s">
        <v>13</v>
      </c>
      <c r="BC5" s="164"/>
      <c r="BD5" s="163" t="s">
        <v>14</v>
      </c>
      <c r="BE5" s="164"/>
      <c r="BF5" s="170" t="s">
        <v>8</v>
      </c>
      <c r="BG5" s="164"/>
      <c r="BH5" s="163" t="s">
        <v>9</v>
      </c>
      <c r="BI5" s="164"/>
      <c r="BJ5" s="163" t="s">
        <v>10</v>
      </c>
      <c r="BK5" s="164"/>
      <c r="BL5" s="163" t="s">
        <v>11</v>
      </c>
      <c r="BM5" s="164"/>
      <c r="BN5" s="163" t="s">
        <v>12</v>
      </c>
      <c r="BO5" s="164"/>
      <c r="BP5" s="163" t="s">
        <v>13</v>
      </c>
      <c r="BQ5" s="164"/>
      <c r="BR5" s="163" t="s">
        <v>14</v>
      </c>
      <c r="BS5" s="164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x14ac:dyDescent="0.2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x14ac:dyDescent="0.2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x14ac:dyDescent="0.2">
      <c r="A10" s="115" t="s">
        <v>18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x14ac:dyDescent="0.2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x14ac:dyDescent="0.2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x14ac:dyDescent="0.2">
      <c r="A13" s="115" t="s">
        <v>19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x14ac:dyDescent="0.2">
      <c r="A14" s="115" t="s">
        <v>20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x14ac:dyDescent="0.2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x14ac:dyDescent="0.2">
      <c r="A16" s="124" t="s">
        <v>21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124" t="s">
        <v>22</v>
      </c>
      <c r="B17" s="155"/>
      <c r="C17" s="156"/>
      <c r="D17" s="157"/>
      <c r="E17" s="156"/>
      <c r="F17" s="158"/>
      <c r="G17" s="159"/>
      <c r="H17" s="158"/>
      <c r="I17" s="159"/>
      <c r="J17" s="158"/>
      <c r="K17" s="159"/>
      <c r="L17" s="26"/>
      <c r="M17" s="27"/>
      <c r="N17" s="26"/>
      <c r="O17" s="28"/>
      <c r="P17" s="160"/>
      <c r="Q17" s="159"/>
      <c r="R17" s="158"/>
      <c r="S17" s="159"/>
      <c r="T17" s="158"/>
      <c r="U17" s="159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15" t="s">
        <v>23</v>
      </c>
      <c r="B18" s="125"/>
      <c r="C18" s="31"/>
      <c r="D18" s="9"/>
      <c r="E18" s="10"/>
      <c r="F18" s="157"/>
      <c r="G18" s="156"/>
      <c r="H18" s="157"/>
      <c r="I18" s="156"/>
      <c r="J18" s="157"/>
      <c r="K18" s="156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24" t="s">
        <v>24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24" t="s">
        <v>25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24" t="s">
        <v>26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24" t="s">
        <v>27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 x14ac:dyDescent="0.2">
      <c r="A23" s="124" t="s">
        <v>28</v>
      </c>
      <c r="B23" s="160"/>
      <c r="C23" s="159"/>
      <c r="D23" s="158"/>
      <c r="E23" s="159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155"/>
      <c r="Q23" s="156"/>
      <c r="R23" s="157"/>
      <c r="S23" s="156"/>
      <c r="T23" s="157"/>
      <c r="U23" s="156"/>
      <c r="V23" s="157"/>
      <c r="W23" s="156"/>
      <c r="X23" s="157"/>
      <c r="Y23" s="156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24" t="s">
        <v>29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24" t="s">
        <v>30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24" t="s">
        <v>31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 x14ac:dyDescent="0.2">
      <c r="A27" s="124" t="s">
        <v>32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124" t="s">
        <v>33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15" t="s">
        <v>34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 x14ac:dyDescent="0.2">
      <c r="A30" s="115" t="s">
        <v>35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 hidden="1" x14ac:dyDescent="0.2">
      <c r="A31" s="15"/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hidden="1" x14ac:dyDescent="0.2">
      <c r="A32" s="122" t="s">
        <v>36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 x14ac:dyDescent="0.2">
      <c r="A33" s="115" t="s">
        <v>37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 x14ac:dyDescent="0.2">
      <c r="A34" s="115" t="s">
        <v>38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126" t="s">
        <v>39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127" t="s">
        <v>40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41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129" t="s">
        <v>42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 x14ac:dyDescent="0.2">
      <c r="A39" s="129" t="s">
        <v>43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41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x14ac:dyDescent="0.2">
      <c r="A40" s="129" t="s">
        <v>44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41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 x14ac:dyDescent="0.2">
      <c r="A41" s="129" t="s">
        <v>45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41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 x14ac:dyDescent="0.2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x14ac:dyDescent="0.2">
      <c r="A43" s="130" t="s">
        <v>46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x14ac:dyDescent="0.2">
      <c r="A44" s="129" t="s">
        <v>47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x14ac:dyDescent="0.2">
      <c r="A45" s="127" t="s">
        <v>48</v>
      </c>
      <c r="B45" s="32"/>
      <c r="C45" s="31"/>
      <c r="D45" s="9"/>
      <c r="E45" s="10"/>
      <c r="F45" s="151"/>
      <c r="G45" s="152"/>
      <c r="H45" s="151"/>
      <c r="I45" s="152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x14ac:dyDescent="0.2">
      <c r="A46" s="127" t="s">
        <v>49</v>
      </c>
      <c r="B46" s="32"/>
      <c r="C46" s="31"/>
      <c r="D46" s="9"/>
      <c r="E46" s="10"/>
      <c r="F46" s="151"/>
      <c r="G46" s="152"/>
      <c r="H46" s="151"/>
      <c r="I46" s="152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x14ac:dyDescent="0.2">
      <c r="A47" s="127" t="s">
        <v>50</v>
      </c>
      <c r="B47" s="32"/>
      <c r="C47" s="31"/>
      <c r="D47" s="9"/>
      <c r="E47" s="10"/>
      <c r="F47" s="151"/>
      <c r="G47" s="152"/>
      <c r="H47" s="151"/>
      <c r="I47" s="152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x14ac:dyDescent="0.2">
      <c r="A48" s="127" t="s">
        <v>51</v>
      </c>
      <c r="B48" s="32"/>
      <c r="C48" s="31"/>
      <c r="D48" s="9"/>
      <c r="E48" s="10"/>
      <c r="F48" s="9"/>
      <c r="G48" s="10"/>
      <c r="H48" s="135"/>
      <c r="I48" s="136"/>
      <c r="J48" s="135"/>
      <c r="K48" s="136"/>
      <c r="L48" s="33"/>
      <c r="M48" s="34"/>
      <c r="N48" s="33"/>
      <c r="O48" s="35"/>
      <c r="P48" s="137"/>
      <c r="Q48" s="136"/>
      <c r="R48" s="135"/>
      <c r="S48" s="136"/>
      <c r="T48" s="135"/>
      <c r="U48" s="136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x14ac:dyDescent="0.2">
      <c r="A49" s="127" t="s">
        <v>52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x14ac:dyDescent="0.2">
      <c r="A50" s="127" t="s">
        <v>53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x14ac:dyDescent="0.2">
      <c r="A51" s="127" t="s">
        <v>54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35"/>
      <c r="AI51" s="136"/>
      <c r="AJ51" s="9"/>
      <c r="AK51" s="10"/>
      <c r="AL51" s="9"/>
      <c r="AM51" s="10"/>
      <c r="AN51" s="33"/>
      <c r="AO51" s="34"/>
      <c r="AP51" s="33"/>
      <c r="AQ51" s="35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x14ac:dyDescent="0.2">
      <c r="A52" s="127" t="s">
        <v>55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135"/>
      <c r="AK52" s="136"/>
      <c r="AL52" s="135"/>
      <c r="AM52" s="136"/>
      <c r="AN52" s="33"/>
      <c r="AO52" s="34"/>
      <c r="AP52" s="33"/>
      <c r="AQ52" s="35"/>
      <c r="AR52" s="137"/>
      <c r="AS52" s="136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127" t="s">
        <v>56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135"/>
      <c r="AU53" s="136"/>
      <c r="AV53" s="135"/>
      <c r="AW53" s="136"/>
      <c r="AX53" s="135"/>
      <c r="AY53" s="136"/>
      <c r="AZ53" s="135"/>
      <c r="BA53" s="136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127" t="s">
        <v>57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 x14ac:dyDescent="0.2">
      <c r="A55" s="127" t="s">
        <v>58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126" t="s">
        <v>59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127" t="s">
        <v>60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127" t="s">
        <v>61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127" t="s">
        <v>62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127" t="s">
        <v>63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 x14ac:dyDescent="0.2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126" t="s">
        <v>64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127" t="s">
        <v>65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127" t="s">
        <v>66</v>
      </c>
      <c r="B64" s="32"/>
      <c r="C64" s="31"/>
      <c r="D64" s="9"/>
      <c r="E64" s="10"/>
      <c r="F64" s="153"/>
      <c r="G64" s="154"/>
      <c r="H64" s="153"/>
      <c r="I64" s="154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127" t="s">
        <v>67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126" t="s">
        <v>68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127" t="s">
        <v>69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127" t="s">
        <v>70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127" t="s">
        <v>71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127" t="s">
        <v>72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127" t="s">
        <v>73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127" t="s">
        <v>74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127" t="s">
        <v>75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131" t="s">
        <v>76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115" t="s">
        <v>77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115" t="s">
        <v>78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115" t="s">
        <v>79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115" t="s">
        <v>80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 x14ac:dyDescent="0.2">
      <c r="A81" s="131" t="s">
        <v>81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82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131" t="s">
        <v>83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41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 x14ac:dyDescent="0.2">
      <c r="A83" s="131" t="s">
        <v>84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 x14ac:dyDescent="0.2">
      <c r="A84" s="131" t="s">
        <v>85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31" t="s">
        <v>86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31" t="s">
        <v>87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126" t="s">
        <v>88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127" t="s">
        <v>89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127" t="s">
        <v>90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27" t="s">
        <v>91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27" t="s">
        <v>92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27" t="s">
        <v>93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27" t="s">
        <v>94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126" t="s">
        <v>95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149"/>
      <c r="BO95" s="150"/>
      <c r="BP95" s="33"/>
      <c r="BQ95" s="34"/>
      <c r="BR95" s="33"/>
      <c r="BS95" s="35"/>
    </row>
    <row r="96" spans="1:71" x14ac:dyDescent="0.2">
      <c r="A96" s="126" t="s">
        <v>96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127" t="s">
        <v>97</v>
      </c>
      <c r="B97" s="128" t="s">
        <v>41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127" t="s">
        <v>98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127" t="s">
        <v>99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41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127" t="s">
        <v>100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27" t="s">
        <v>101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127" t="s">
        <v>102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127" t="s">
        <v>103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41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127" t="s">
        <v>104</v>
      </c>
      <c r="B104" s="128" t="s">
        <v>41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129" t="s">
        <v>105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129" t="s">
        <v>106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 x14ac:dyDescent="0.25">
      <c r="A107" s="129" t="s">
        <v>107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 x14ac:dyDescent="0.25">
      <c r="A108" s="16" t="s">
        <v>108</v>
      </c>
      <c r="B108" s="171">
        <v>22</v>
      </c>
      <c r="C108" s="162"/>
      <c r="D108" s="161">
        <v>22</v>
      </c>
      <c r="E108" s="162"/>
      <c r="F108" s="161">
        <v>22</v>
      </c>
      <c r="G108" s="162"/>
      <c r="H108" s="161">
        <v>22</v>
      </c>
      <c r="I108" s="162"/>
      <c r="J108" s="161">
        <v>22</v>
      </c>
      <c r="K108" s="162"/>
      <c r="L108" s="161">
        <v>0</v>
      </c>
      <c r="M108" s="162"/>
      <c r="N108" s="161">
        <v>0</v>
      </c>
      <c r="O108" s="162"/>
      <c r="P108" s="171">
        <v>22</v>
      </c>
      <c r="Q108" s="162"/>
      <c r="R108" s="161">
        <v>22</v>
      </c>
      <c r="S108" s="162"/>
      <c r="T108" s="161">
        <v>22</v>
      </c>
      <c r="U108" s="162"/>
      <c r="V108" s="161">
        <v>22</v>
      </c>
      <c r="W108" s="162"/>
      <c r="X108" s="161">
        <v>22</v>
      </c>
      <c r="Y108" s="162"/>
      <c r="Z108" s="161">
        <v>0</v>
      </c>
      <c r="AA108" s="162"/>
      <c r="AB108" s="161">
        <v>0</v>
      </c>
      <c r="AC108" s="162"/>
      <c r="AD108" s="171">
        <v>22</v>
      </c>
      <c r="AE108" s="162"/>
      <c r="AF108" s="161">
        <v>22</v>
      </c>
      <c r="AG108" s="162"/>
      <c r="AH108" s="161">
        <v>22</v>
      </c>
      <c r="AI108" s="162"/>
      <c r="AJ108" s="161">
        <v>22</v>
      </c>
      <c r="AK108" s="162"/>
      <c r="AL108" s="161">
        <v>22</v>
      </c>
      <c r="AM108" s="162"/>
      <c r="AN108" s="161">
        <v>0</v>
      </c>
      <c r="AO108" s="162"/>
      <c r="AP108" s="161">
        <v>0</v>
      </c>
      <c r="AQ108" s="162"/>
      <c r="AR108" s="171">
        <v>22</v>
      </c>
      <c r="AS108" s="162"/>
      <c r="AT108" s="161">
        <v>22</v>
      </c>
      <c r="AU108" s="162"/>
      <c r="AV108" s="161">
        <v>22</v>
      </c>
      <c r="AW108" s="162"/>
      <c r="AX108" s="161">
        <v>22</v>
      </c>
      <c r="AY108" s="162"/>
      <c r="AZ108" s="161">
        <v>22</v>
      </c>
      <c r="BA108" s="162"/>
      <c r="BB108" s="161">
        <v>0</v>
      </c>
      <c r="BC108" s="162"/>
      <c r="BD108" s="161">
        <v>0</v>
      </c>
      <c r="BE108" s="162"/>
      <c r="BF108" s="171">
        <v>22</v>
      </c>
      <c r="BG108" s="162"/>
      <c r="BH108" s="161">
        <v>22</v>
      </c>
      <c r="BI108" s="162"/>
      <c r="BJ108" s="161">
        <v>22</v>
      </c>
      <c r="BK108" s="162"/>
      <c r="BL108" s="161">
        <v>22</v>
      </c>
      <c r="BM108" s="162"/>
      <c r="BN108" s="161">
        <v>22</v>
      </c>
      <c r="BO108" s="162"/>
      <c r="BP108" s="161">
        <v>0</v>
      </c>
      <c r="BQ108" s="162"/>
      <c r="BR108" s="161">
        <v>0</v>
      </c>
      <c r="BS108" s="162"/>
    </row>
    <row r="109" spans="1:71" ht="12.75" customHeight="1" x14ac:dyDescent="0.2">
      <c r="A109" s="17" t="s">
        <v>109</v>
      </c>
      <c r="B109" s="17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77"/>
      <c r="P109" s="17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77"/>
      <c r="AD109" s="176"/>
      <c r="AE109" s="166"/>
      <c r="AF109" s="166"/>
      <c r="AG109" s="166"/>
      <c r="AH109" s="166"/>
      <c r="AI109" s="166"/>
      <c r="AJ109" s="166"/>
      <c r="AK109" s="166"/>
      <c r="AL109" s="166"/>
      <c r="AM109" s="166"/>
      <c r="AN109" s="166"/>
      <c r="AO109" s="166"/>
      <c r="AP109" s="166"/>
      <c r="AQ109" s="177"/>
      <c r="AR109" s="176"/>
      <c r="AS109" s="166"/>
      <c r="AT109" s="166"/>
      <c r="AU109" s="166"/>
      <c r="AV109" s="166"/>
      <c r="AW109" s="166"/>
      <c r="AX109" s="166"/>
      <c r="AY109" s="166"/>
      <c r="AZ109" s="166"/>
      <c r="BA109" s="166"/>
      <c r="BB109" s="166"/>
      <c r="BC109" s="166"/>
      <c r="BD109" s="166"/>
      <c r="BE109" s="177"/>
      <c r="BF109" s="176"/>
      <c r="BG109" s="166"/>
      <c r="BH109" s="166"/>
      <c r="BI109" s="166"/>
      <c r="BJ109" s="166"/>
      <c r="BK109" s="166"/>
      <c r="BL109" s="166"/>
      <c r="BM109" s="166"/>
      <c r="BN109" s="166"/>
      <c r="BO109" s="166"/>
      <c r="BP109" s="166"/>
      <c r="BQ109" s="166"/>
      <c r="BR109" s="166"/>
      <c r="BS109" s="177"/>
    </row>
    <row r="110" spans="1:71" ht="12.75" customHeight="1" x14ac:dyDescent="0.2">
      <c r="A110" s="195"/>
      <c r="B110" s="178" t="s">
        <v>110</v>
      </c>
      <c r="C110" s="179"/>
      <c r="D110" s="179"/>
      <c r="E110" s="179"/>
      <c r="F110" s="179"/>
      <c r="G110" s="179"/>
      <c r="H110" s="179"/>
      <c r="I110" s="179"/>
      <c r="J110" s="179"/>
      <c r="K110" s="179"/>
      <c r="L110" s="179"/>
      <c r="M110" s="179"/>
      <c r="N110" s="179"/>
      <c r="O110" s="180"/>
      <c r="P110" s="178" t="s">
        <v>111</v>
      </c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  <c r="AA110" s="179"/>
      <c r="AB110" s="179"/>
      <c r="AC110" s="180"/>
      <c r="AD110" s="178" t="s">
        <v>112</v>
      </c>
      <c r="AE110" s="179"/>
      <c r="AF110" s="179"/>
      <c r="AG110" s="179"/>
      <c r="AH110" s="179"/>
      <c r="AI110" s="179"/>
      <c r="AJ110" s="179"/>
      <c r="AK110" s="179"/>
      <c r="AL110" s="179"/>
      <c r="AM110" s="179"/>
      <c r="AN110" s="179"/>
      <c r="AO110" s="179"/>
      <c r="AP110" s="179"/>
      <c r="AQ110" s="180"/>
      <c r="AR110" s="178" t="s">
        <v>113</v>
      </c>
      <c r="AS110" s="179"/>
      <c r="AT110" s="179"/>
      <c r="AU110" s="179"/>
      <c r="AV110" s="179"/>
      <c r="AW110" s="179"/>
      <c r="AX110" s="179"/>
      <c r="AY110" s="179"/>
      <c r="AZ110" s="179"/>
      <c r="BA110" s="179"/>
      <c r="BB110" s="179"/>
      <c r="BC110" s="179"/>
      <c r="BD110" s="179"/>
      <c r="BE110" s="180"/>
      <c r="BF110" s="178" t="s">
        <v>114</v>
      </c>
      <c r="BG110" s="179"/>
      <c r="BH110" s="179"/>
      <c r="BI110" s="179"/>
      <c r="BJ110" s="179"/>
      <c r="BK110" s="179"/>
      <c r="BL110" s="179"/>
      <c r="BM110" s="179"/>
      <c r="BN110" s="179"/>
      <c r="BO110" s="179"/>
      <c r="BP110" s="179"/>
      <c r="BQ110" s="179"/>
      <c r="BR110" s="179"/>
      <c r="BS110" s="180"/>
    </row>
    <row r="111" spans="1:71" x14ac:dyDescent="0.2">
      <c r="A111" s="196"/>
      <c r="B111" s="181"/>
      <c r="C111" s="182"/>
      <c r="D111" s="182"/>
      <c r="E111" s="182"/>
      <c r="F111" s="182"/>
      <c r="G111" s="182"/>
      <c r="H111" s="182"/>
      <c r="I111" s="182"/>
      <c r="J111" s="182"/>
      <c r="K111" s="182"/>
      <c r="L111" s="182"/>
      <c r="M111" s="182"/>
      <c r="N111" s="182"/>
      <c r="O111" s="183"/>
      <c r="P111" s="181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2"/>
      <c r="AC111" s="183"/>
      <c r="AD111" s="181"/>
      <c r="AE111" s="182"/>
      <c r="AF111" s="182"/>
      <c r="AG111" s="182"/>
      <c r="AH111" s="182"/>
      <c r="AI111" s="182"/>
      <c r="AJ111" s="182"/>
      <c r="AK111" s="182"/>
      <c r="AL111" s="182"/>
      <c r="AM111" s="182"/>
      <c r="AN111" s="182"/>
      <c r="AO111" s="182"/>
      <c r="AP111" s="182"/>
      <c r="AQ111" s="183"/>
      <c r="AR111" s="181"/>
      <c r="AS111" s="182"/>
      <c r="AT111" s="182"/>
      <c r="AU111" s="182"/>
      <c r="AV111" s="182"/>
      <c r="AW111" s="182"/>
      <c r="AX111" s="182"/>
      <c r="AY111" s="182"/>
      <c r="AZ111" s="182"/>
      <c r="BA111" s="182"/>
      <c r="BB111" s="182"/>
      <c r="BC111" s="182"/>
      <c r="BD111" s="182"/>
      <c r="BE111" s="183"/>
      <c r="BF111" s="181"/>
      <c r="BG111" s="182"/>
      <c r="BH111" s="182"/>
      <c r="BI111" s="182"/>
      <c r="BJ111" s="182"/>
      <c r="BK111" s="182"/>
      <c r="BL111" s="182"/>
      <c r="BM111" s="182"/>
      <c r="BN111" s="182"/>
      <c r="BO111" s="182"/>
      <c r="BP111" s="182"/>
      <c r="BQ111" s="182"/>
      <c r="BR111" s="182"/>
      <c r="BS111" s="183"/>
    </row>
    <row r="112" spans="1:71" x14ac:dyDescent="0.2">
      <c r="A112" s="196"/>
      <c r="B112" s="181"/>
      <c r="C112" s="182"/>
      <c r="D112" s="182"/>
      <c r="E112" s="182"/>
      <c r="F112" s="182"/>
      <c r="G112" s="182"/>
      <c r="H112" s="182"/>
      <c r="I112" s="182"/>
      <c r="J112" s="182"/>
      <c r="K112" s="182"/>
      <c r="L112" s="182"/>
      <c r="M112" s="182"/>
      <c r="N112" s="182"/>
      <c r="O112" s="183"/>
      <c r="P112" s="181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2"/>
      <c r="AC112" s="183"/>
      <c r="AD112" s="181"/>
      <c r="AE112" s="182"/>
      <c r="AF112" s="182"/>
      <c r="AG112" s="182"/>
      <c r="AH112" s="182"/>
      <c r="AI112" s="182"/>
      <c r="AJ112" s="182"/>
      <c r="AK112" s="182"/>
      <c r="AL112" s="182"/>
      <c r="AM112" s="182"/>
      <c r="AN112" s="182"/>
      <c r="AO112" s="182"/>
      <c r="AP112" s="182"/>
      <c r="AQ112" s="183"/>
      <c r="AR112" s="181"/>
      <c r="AS112" s="182"/>
      <c r="AT112" s="182"/>
      <c r="AU112" s="182"/>
      <c r="AV112" s="182"/>
      <c r="AW112" s="182"/>
      <c r="AX112" s="182"/>
      <c r="AY112" s="182"/>
      <c r="AZ112" s="182"/>
      <c r="BA112" s="182"/>
      <c r="BB112" s="182"/>
      <c r="BC112" s="182"/>
      <c r="BD112" s="182"/>
      <c r="BE112" s="183"/>
      <c r="BF112" s="181"/>
      <c r="BG112" s="182"/>
      <c r="BH112" s="182"/>
      <c r="BI112" s="182"/>
      <c r="BJ112" s="182"/>
      <c r="BK112" s="182"/>
      <c r="BL112" s="182"/>
      <c r="BM112" s="182"/>
      <c r="BN112" s="182"/>
      <c r="BO112" s="182"/>
      <c r="BP112" s="182"/>
      <c r="BQ112" s="182"/>
      <c r="BR112" s="182"/>
      <c r="BS112" s="183"/>
    </row>
    <row r="113" spans="1:71" x14ac:dyDescent="0.2">
      <c r="A113" s="196"/>
      <c r="B113" s="181"/>
      <c r="C113" s="182"/>
      <c r="D113" s="182"/>
      <c r="E113" s="182"/>
      <c r="F113" s="182"/>
      <c r="G113" s="182"/>
      <c r="H113" s="182"/>
      <c r="I113" s="182"/>
      <c r="J113" s="182"/>
      <c r="K113" s="182"/>
      <c r="L113" s="182"/>
      <c r="M113" s="182"/>
      <c r="N113" s="182"/>
      <c r="O113" s="183"/>
      <c r="P113" s="181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2"/>
      <c r="AC113" s="183"/>
      <c r="AD113" s="181"/>
      <c r="AE113" s="182"/>
      <c r="AF113" s="182"/>
      <c r="AG113" s="182"/>
      <c r="AH113" s="182"/>
      <c r="AI113" s="182"/>
      <c r="AJ113" s="182"/>
      <c r="AK113" s="182"/>
      <c r="AL113" s="182"/>
      <c r="AM113" s="182"/>
      <c r="AN113" s="182"/>
      <c r="AO113" s="182"/>
      <c r="AP113" s="182"/>
      <c r="AQ113" s="183"/>
      <c r="AR113" s="181"/>
      <c r="AS113" s="182"/>
      <c r="AT113" s="182"/>
      <c r="AU113" s="182"/>
      <c r="AV113" s="182"/>
      <c r="AW113" s="182"/>
      <c r="AX113" s="182"/>
      <c r="AY113" s="182"/>
      <c r="AZ113" s="182"/>
      <c r="BA113" s="182"/>
      <c r="BB113" s="182"/>
      <c r="BC113" s="182"/>
      <c r="BD113" s="182"/>
      <c r="BE113" s="183"/>
      <c r="BF113" s="181"/>
      <c r="BG113" s="182"/>
      <c r="BH113" s="182"/>
      <c r="BI113" s="182"/>
      <c r="BJ113" s="182"/>
      <c r="BK113" s="182"/>
      <c r="BL113" s="182"/>
      <c r="BM113" s="182"/>
      <c r="BN113" s="182"/>
      <c r="BO113" s="182"/>
      <c r="BP113" s="182"/>
      <c r="BQ113" s="182"/>
      <c r="BR113" s="182"/>
      <c r="BS113" s="183"/>
    </row>
    <row r="114" spans="1:71" x14ac:dyDescent="0.2">
      <c r="A114" s="196"/>
      <c r="B114" s="181"/>
      <c r="C114" s="182"/>
      <c r="D114" s="182"/>
      <c r="E114" s="182"/>
      <c r="F114" s="182"/>
      <c r="G114" s="182"/>
      <c r="H114" s="182"/>
      <c r="I114" s="182"/>
      <c r="J114" s="182"/>
      <c r="K114" s="182"/>
      <c r="L114" s="182"/>
      <c r="M114" s="182"/>
      <c r="N114" s="182"/>
      <c r="O114" s="183"/>
      <c r="P114" s="181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2"/>
      <c r="AC114" s="183"/>
      <c r="AD114" s="181"/>
      <c r="AE114" s="182"/>
      <c r="AF114" s="182"/>
      <c r="AG114" s="182"/>
      <c r="AH114" s="182"/>
      <c r="AI114" s="182"/>
      <c r="AJ114" s="182"/>
      <c r="AK114" s="182"/>
      <c r="AL114" s="182"/>
      <c r="AM114" s="182"/>
      <c r="AN114" s="182"/>
      <c r="AO114" s="182"/>
      <c r="AP114" s="182"/>
      <c r="AQ114" s="183"/>
      <c r="AR114" s="181"/>
      <c r="AS114" s="182"/>
      <c r="AT114" s="182"/>
      <c r="AU114" s="182"/>
      <c r="AV114" s="182"/>
      <c r="AW114" s="182"/>
      <c r="AX114" s="182"/>
      <c r="AY114" s="182"/>
      <c r="AZ114" s="182"/>
      <c r="BA114" s="182"/>
      <c r="BB114" s="182"/>
      <c r="BC114" s="182"/>
      <c r="BD114" s="182"/>
      <c r="BE114" s="183"/>
      <c r="BF114" s="181"/>
      <c r="BG114" s="182"/>
      <c r="BH114" s="182"/>
      <c r="BI114" s="182"/>
      <c r="BJ114" s="182"/>
      <c r="BK114" s="182"/>
      <c r="BL114" s="182"/>
      <c r="BM114" s="182"/>
      <c r="BN114" s="182"/>
      <c r="BO114" s="182"/>
      <c r="BP114" s="182"/>
      <c r="BQ114" s="182"/>
      <c r="BR114" s="182"/>
      <c r="BS114" s="183"/>
    </row>
    <row r="115" spans="1:71" x14ac:dyDescent="0.2">
      <c r="A115" s="196"/>
      <c r="B115" s="181"/>
      <c r="C115" s="182"/>
      <c r="D115" s="182"/>
      <c r="E115" s="182"/>
      <c r="F115" s="182"/>
      <c r="G115" s="182"/>
      <c r="H115" s="182"/>
      <c r="I115" s="182"/>
      <c r="J115" s="182"/>
      <c r="K115" s="182"/>
      <c r="L115" s="182"/>
      <c r="M115" s="182"/>
      <c r="N115" s="182"/>
      <c r="O115" s="183"/>
      <c r="P115" s="181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2"/>
      <c r="AC115" s="183"/>
      <c r="AD115" s="181"/>
      <c r="AE115" s="182"/>
      <c r="AF115" s="182"/>
      <c r="AG115" s="182"/>
      <c r="AH115" s="182"/>
      <c r="AI115" s="182"/>
      <c r="AJ115" s="182"/>
      <c r="AK115" s="182"/>
      <c r="AL115" s="182"/>
      <c r="AM115" s="182"/>
      <c r="AN115" s="182"/>
      <c r="AO115" s="182"/>
      <c r="AP115" s="182"/>
      <c r="AQ115" s="183"/>
      <c r="AR115" s="181"/>
      <c r="AS115" s="182"/>
      <c r="AT115" s="182"/>
      <c r="AU115" s="182"/>
      <c r="AV115" s="182"/>
      <c r="AW115" s="182"/>
      <c r="AX115" s="182"/>
      <c r="AY115" s="182"/>
      <c r="AZ115" s="182"/>
      <c r="BA115" s="182"/>
      <c r="BB115" s="182"/>
      <c r="BC115" s="182"/>
      <c r="BD115" s="182"/>
      <c r="BE115" s="183"/>
      <c r="BF115" s="181"/>
      <c r="BG115" s="182"/>
      <c r="BH115" s="182"/>
      <c r="BI115" s="182"/>
      <c r="BJ115" s="182"/>
      <c r="BK115" s="182"/>
      <c r="BL115" s="182"/>
      <c r="BM115" s="182"/>
      <c r="BN115" s="182"/>
      <c r="BO115" s="182"/>
      <c r="BP115" s="182"/>
      <c r="BQ115" s="182"/>
      <c r="BR115" s="182"/>
      <c r="BS115" s="183"/>
    </row>
    <row r="116" spans="1:71" ht="13.5" customHeight="1" thickBot="1" x14ac:dyDescent="0.25">
      <c r="A116" s="197"/>
      <c r="B116" s="184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6"/>
      <c r="P116" s="184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6"/>
      <c r="AD116" s="184"/>
      <c r="AE116" s="185"/>
      <c r="AF116" s="185"/>
      <c r="AG116" s="185"/>
      <c r="AH116" s="185"/>
      <c r="AI116" s="185"/>
      <c r="AJ116" s="185"/>
      <c r="AK116" s="185"/>
      <c r="AL116" s="185"/>
      <c r="AM116" s="185"/>
      <c r="AN116" s="185"/>
      <c r="AO116" s="185"/>
      <c r="AP116" s="185"/>
      <c r="AQ116" s="186"/>
      <c r="AR116" s="184"/>
      <c r="AS116" s="185"/>
      <c r="AT116" s="185"/>
      <c r="AU116" s="185"/>
      <c r="AV116" s="185"/>
      <c r="AW116" s="185"/>
      <c r="AX116" s="185"/>
      <c r="AY116" s="185"/>
      <c r="AZ116" s="185"/>
      <c r="BA116" s="185"/>
      <c r="BB116" s="185"/>
      <c r="BC116" s="185"/>
      <c r="BD116" s="185"/>
      <c r="BE116" s="186"/>
      <c r="BF116" s="184"/>
      <c r="BG116" s="185"/>
      <c r="BH116" s="185"/>
      <c r="BI116" s="185"/>
      <c r="BJ116" s="185"/>
      <c r="BK116" s="185"/>
      <c r="BL116" s="185"/>
      <c r="BM116" s="185"/>
      <c r="BN116" s="185"/>
      <c r="BO116" s="185"/>
      <c r="BP116" s="185"/>
      <c r="BQ116" s="185"/>
      <c r="BR116" s="185"/>
      <c r="BS116" s="186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P4:Q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AX4:AY4"/>
    <mergeCell ref="F4:G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3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99" t="s">
        <v>0</v>
      </c>
      <c r="B1" s="202">
        <v>46160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68" t="s">
        <v>2</v>
      </c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91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91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92"/>
      <c r="BG1" s="169"/>
      <c r="BH1" s="169"/>
      <c r="BI1" s="169"/>
      <c r="BJ1" s="169"/>
      <c r="BK1" s="169"/>
      <c r="BL1" s="169"/>
      <c r="BM1" s="169"/>
      <c r="BN1" s="169"/>
      <c r="BO1" s="169"/>
      <c r="BP1" s="169"/>
      <c r="BQ1" s="169"/>
      <c r="BR1" s="169"/>
      <c r="BS1" s="193"/>
    </row>
    <row r="2" spans="1:71" ht="13.5" customHeight="1" thickBot="1" x14ac:dyDescent="0.25">
      <c r="A2" s="200"/>
      <c r="B2" s="185"/>
      <c r="C2" s="185"/>
      <c r="D2" s="185"/>
      <c r="E2" s="185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72" t="s">
        <v>4</v>
      </c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94"/>
    </row>
    <row r="3" spans="1:71" x14ac:dyDescent="0.2">
      <c r="A3" s="12" t="s">
        <v>5</v>
      </c>
      <c r="B3" s="165" t="str">
        <f>"Woche " &amp; WEEKNUM(B4)</f>
        <v>Woche 21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7"/>
      <c r="P3" s="187" t="str">
        <f>"Woche " &amp; WEEKNUM(P4)</f>
        <v>Woche 22</v>
      </c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7"/>
      <c r="AD3" s="187" t="str">
        <f>"Woche " &amp; WEEKNUM(AD4)</f>
        <v>Woche 23</v>
      </c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7"/>
      <c r="AR3" s="187" t="str">
        <f>"Woche " &amp; WEEKNUM(AR4)</f>
        <v>Woche 24</v>
      </c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6"/>
      <c r="BE3" s="167"/>
      <c r="BF3" s="187" t="str">
        <f>"Woche " &amp; WEEKNUM(BF4)</f>
        <v>Woche 25</v>
      </c>
      <c r="BG3" s="166"/>
      <c r="BH3" s="166"/>
      <c r="BI3" s="166"/>
      <c r="BJ3" s="166"/>
      <c r="BK3" s="166"/>
      <c r="BL3" s="166"/>
      <c r="BM3" s="166"/>
      <c r="BN3" s="166"/>
      <c r="BO3" s="166"/>
      <c r="BP3" s="166"/>
      <c r="BQ3" s="166"/>
      <c r="BR3" s="166"/>
      <c r="BS3" s="167"/>
    </row>
    <row r="4" spans="1:71" x14ac:dyDescent="0.2">
      <c r="A4" s="13" t="s">
        <v>6</v>
      </c>
      <c r="B4" s="174">
        <f>B1</f>
        <v>46160</v>
      </c>
      <c r="C4" s="175"/>
      <c r="D4" s="174">
        <f>B4+1</f>
        <v>46161</v>
      </c>
      <c r="E4" s="175"/>
      <c r="F4" s="174">
        <f>D4+1</f>
        <v>46162</v>
      </c>
      <c r="G4" s="175"/>
      <c r="H4" s="174">
        <f>F4+1</f>
        <v>46163</v>
      </c>
      <c r="I4" s="175"/>
      <c r="J4" s="174">
        <f>H4+1</f>
        <v>46164</v>
      </c>
      <c r="K4" s="175"/>
      <c r="L4" s="174">
        <f>J4+1</f>
        <v>46165</v>
      </c>
      <c r="M4" s="175"/>
      <c r="N4" s="174">
        <f>L4+1</f>
        <v>46166</v>
      </c>
      <c r="O4" s="175"/>
      <c r="P4" s="174">
        <f>N4+1</f>
        <v>46167</v>
      </c>
      <c r="Q4" s="175"/>
      <c r="R4" s="174">
        <f>P4+1</f>
        <v>46168</v>
      </c>
      <c r="S4" s="175"/>
      <c r="T4" s="174">
        <f>R4+1</f>
        <v>46169</v>
      </c>
      <c r="U4" s="175"/>
      <c r="V4" s="174">
        <f>T4+1</f>
        <v>46170</v>
      </c>
      <c r="W4" s="175"/>
      <c r="X4" s="174">
        <f>V4+1</f>
        <v>46171</v>
      </c>
      <c r="Y4" s="175"/>
      <c r="Z4" s="174">
        <f>X4+1</f>
        <v>46172</v>
      </c>
      <c r="AA4" s="175"/>
      <c r="AB4" s="188">
        <f>Z4+1</f>
        <v>46173</v>
      </c>
      <c r="AC4" s="175"/>
      <c r="AD4" s="188">
        <f>AB4+1</f>
        <v>46174</v>
      </c>
      <c r="AE4" s="175"/>
      <c r="AF4" s="174">
        <f>AD4+1</f>
        <v>46175</v>
      </c>
      <c r="AG4" s="175"/>
      <c r="AH4" s="174">
        <f>AF4+1</f>
        <v>46176</v>
      </c>
      <c r="AI4" s="175"/>
      <c r="AJ4" s="174">
        <f>AH4+1</f>
        <v>46177</v>
      </c>
      <c r="AK4" s="175"/>
      <c r="AL4" s="174">
        <f>AJ4+1</f>
        <v>46178</v>
      </c>
      <c r="AM4" s="175"/>
      <c r="AN4" s="174">
        <f>AL4+1</f>
        <v>46179</v>
      </c>
      <c r="AO4" s="175"/>
      <c r="AP4" s="174">
        <f>AN4+1</f>
        <v>46180</v>
      </c>
      <c r="AQ4" s="175"/>
      <c r="AR4" s="174">
        <f>AP4+1</f>
        <v>46181</v>
      </c>
      <c r="AS4" s="175"/>
      <c r="AT4" s="174">
        <f>AR4+1</f>
        <v>46182</v>
      </c>
      <c r="AU4" s="175"/>
      <c r="AV4" s="174">
        <f>AT4+1</f>
        <v>46183</v>
      </c>
      <c r="AW4" s="175"/>
      <c r="AX4" s="174">
        <f>AV4+1</f>
        <v>46184</v>
      </c>
      <c r="AY4" s="175"/>
      <c r="AZ4" s="174">
        <f>AX4+1</f>
        <v>46185</v>
      </c>
      <c r="BA4" s="175"/>
      <c r="BB4" s="174">
        <f>AZ4+1</f>
        <v>46186</v>
      </c>
      <c r="BC4" s="175"/>
      <c r="BD4" s="174">
        <f>BB4+1</f>
        <v>46187</v>
      </c>
      <c r="BE4" s="175"/>
      <c r="BF4" s="174">
        <f>BD4+1</f>
        <v>46188</v>
      </c>
      <c r="BG4" s="175"/>
      <c r="BH4" s="174">
        <f>BF4+1</f>
        <v>46189</v>
      </c>
      <c r="BI4" s="175"/>
      <c r="BJ4" s="174">
        <f>BH4+1</f>
        <v>46190</v>
      </c>
      <c r="BK4" s="175"/>
      <c r="BL4" s="174">
        <f>BJ4+1</f>
        <v>46191</v>
      </c>
      <c r="BM4" s="175"/>
      <c r="BN4" s="174">
        <f>BL4+1</f>
        <v>46192</v>
      </c>
      <c r="BO4" s="175"/>
      <c r="BP4" s="174">
        <f>BN4+1</f>
        <v>46193</v>
      </c>
      <c r="BQ4" s="175"/>
      <c r="BR4" s="174">
        <f>BP4+1</f>
        <v>46194</v>
      </c>
      <c r="BS4" s="175"/>
    </row>
    <row r="5" spans="1:71" x14ac:dyDescent="0.2">
      <c r="A5" s="75" t="s">
        <v>7</v>
      </c>
      <c r="B5" s="198" t="s">
        <v>8</v>
      </c>
      <c r="C5" s="164"/>
      <c r="D5" s="163" t="s">
        <v>9</v>
      </c>
      <c r="E5" s="164"/>
      <c r="F5" s="163" t="s">
        <v>10</v>
      </c>
      <c r="G5" s="164"/>
      <c r="H5" s="163" t="s">
        <v>11</v>
      </c>
      <c r="I5" s="164"/>
      <c r="J5" s="163" t="s">
        <v>12</v>
      </c>
      <c r="K5" s="164"/>
      <c r="L5" s="163" t="s">
        <v>13</v>
      </c>
      <c r="M5" s="164"/>
      <c r="N5" s="163" t="s">
        <v>14</v>
      </c>
      <c r="O5" s="164"/>
      <c r="P5" s="170" t="s">
        <v>8</v>
      </c>
      <c r="Q5" s="164"/>
      <c r="R5" s="163" t="s">
        <v>9</v>
      </c>
      <c r="S5" s="164"/>
      <c r="T5" s="163" t="s">
        <v>10</v>
      </c>
      <c r="U5" s="164"/>
      <c r="V5" s="163" t="s">
        <v>11</v>
      </c>
      <c r="W5" s="164"/>
      <c r="X5" s="163" t="s">
        <v>12</v>
      </c>
      <c r="Y5" s="164"/>
      <c r="Z5" s="163" t="s">
        <v>13</v>
      </c>
      <c r="AA5" s="164"/>
      <c r="AB5" s="163" t="s">
        <v>14</v>
      </c>
      <c r="AC5" s="164"/>
      <c r="AD5" s="170" t="s">
        <v>8</v>
      </c>
      <c r="AE5" s="164"/>
      <c r="AF5" s="163" t="s">
        <v>9</v>
      </c>
      <c r="AG5" s="164"/>
      <c r="AH5" s="163" t="s">
        <v>10</v>
      </c>
      <c r="AI5" s="164"/>
      <c r="AJ5" s="163" t="s">
        <v>11</v>
      </c>
      <c r="AK5" s="164"/>
      <c r="AL5" s="163" t="s">
        <v>12</v>
      </c>
      <c r="AM5" s="164"/>
      <c r="AN5" s="163" t="s">
        <v>13</v>
      </c>
      <c r="AO5" s="164"/>
      <c r="AP5" s="163" t="s">
        <v>14</v>
      </c>
      <c r="AQ5" s="164"/>
      <c r="AR5" s="170" t="s">
        <v>8</v>
      </c>
      <c r="AS5" s="164"/>
      <c r="AT5" s="163" t="s">
        <v>9</v>
      </c>
      <c r="AU5" s="164"/>
      <c r="AV5" s="163" t="s">
        <v>10</v>
      </c>
      <c r="AW5" s="164"/>
      <c r="AX5" s="163" t="s">
        <v>11</v>
      </c>
      <c r="AY5" s="164"/>
      <c r="AZ5" s="163" t="s">
        <v>12</v>
      </c>
      <c r="BA5" s="164"/>
      <c r="BB5" s="163" t="s">
        <v>13</v>
      </c>
      <c r="BC5" s="164"/>
      <c r="BD5" s="163" t="s">
        <v>14</v>
      </c>
      <c r="BE5" s="164"/>
      <c r="BF5" s="170" t="s">
        <v>8</v>
      </c>
      <c r="BG5" s="164"/>
      <c r="BH5" s="163" t="s">
        <v>9</v>
      </c>
      <c r="BI5" s="164"/>
      <c r="BJ5" s="163" t="s">
        <v>10</v>
      </c>
      <c r="BK5" s="164"/>
      <c r="BL5" s="163" t="s">
        <v>11</v>
      </c>
      <c r="BM5" s="164"/>
      <c r="BN5" s="163" t="s">
        <v>12</v>
      </c>
      <c r="BO5" s="164"/>
      <c r="BP5" s="163" t="s">
        <v>13</v>
      </c>
      <c r="BQ5" s="164"/>
      <c r="BR5" s="163" t="s">
        <v>14</v>
      </c>
      <c r="BS5" s="164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 t="s">
        <v>115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 t="s">
        <v>116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117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5" t="s">
        <v>118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5" t="s">
        <v>119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5" t="s">
        <v>120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5" t="s">
        <v>121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15" t="s">
        <v>122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41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5" t="s">
        <v>123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5" t="s">
        <v>124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5" t="s">
        <v>125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15" t="s">
        <v>126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8" t="s">
        <v>127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36" t="s">
        <v>128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x14ac:dyDescent="0.2">
      <c r="A31" s="53" t="s">
        <v>129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5" t="s">
        <v>130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131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132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71" t="s">
        <v>133</v>
      </c>
      <c r="B33" s="9" t="s">
        <v>131</v>
      </c>
      <c r="C33" s="10"/>
      <c r="D33" s="9"/>
      <c r="E33" s="10"/>
      <c r="F33" s="29"/>
      <c r="G33" s="20" t="s">
        <v>132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71" t="s">
        <v>134</v>
      </c>
      <c r="B34" s="32"/>
      <c r="C34" s="31"/>
      <c r="D34" s="9"/>
      <c r="E34" s="10"/>
      <c r="F34" s="9"/>
      <c r="G34" s="10"/>
      <c r="H34" s="9" t="s">
        <v>131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132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36" t="s">
        <v>135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131</v>
      </c>
      <c r="AI35" s="10" t="s">
        <v>132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36" t="s">
        <v>136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131</v>
      </c>
      <c r="AM36" s="10"/>
      <c r="AN36" s="26"/>
      <c r="AO36" s="27"/>
      <c r="AP36" s="26"/>
      <c r="AQ36" s="28"/>
      <c r="AR36" s="32"/>
      <c r="AS36" s="31" t="s">
        <v>132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36" t="s">
        <v>137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131</v>
      </c>
      <c r="AU37" s="10" t="s">
        <v>132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36" t="s">
        <v>138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131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132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x14ac:dyDescent="0.2">
      <c r="A39" s="36" t="s">
        <v>139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131</v>
      </c>
      <c r="BI39" s="10"/>
      <c r="BJ39" s="9"/>
      <c r="BK39" s="10"/>
      <c r="BL39" s="9"/>
      <c r="BM39" s="10" t="s">
        <v>132</v>
      </c>
      <c r="BN39" s="9"/>
      <c r="BO39" s="10"/>
      <c r="BP39" s="26"/>
      <c r="BQ39" s="27"/>
      <c r="BR39" s="26"/>
      <c r="BS39" s="28"/>
    </row>
    <row r="40" spans="1:7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x14ac:dyDescent="0.2">
      <c r="A41" s="36" t="s">
        <v>140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131</v>
      </c>
      <c r="AG41" s="10" t="s">
        <v>132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x14ac:dyDescent="0.2">
      <c r="A42" s="36" t="s">
        <v>141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131</v>
      </c>
      <c r="BM42" s="10" t="s">
        <v>132</v>
      </c>
      <c r="BN42" s="9"/>
      <c r="BO42" s="10"/>
      <c r="BP42" s="26"/>
      <c r="BQ42" s="27"/>
      <c r="BR42" s="26"/>
      <c r="BS42" s="28"/>
    </row>
    <row r="43" spans="1:71" x14ac:dyDescent="0.2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 x14ac:dyDescent="0.2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x14ac:dyDescent="0.2">
      <c r="A50" s="65" t="s">
        <v>142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x14ac:dyDescent="0.2">
      <c r="A51" s="65" t="s">
        <v>143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x14ac:dyDescent="0.2">
      <c r="A52" s="67" t="s">
        <v>144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67" t="s">
        <v>145</v>
      </c>
      <c r="B53" s="49"/>
      <c r="C53" s="31"/>
      <c r="D53" s="9"/>
      <c r="E53" s="10"/>
      <c r="F53" s="54" t="s">
        <v>41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67" t="s">
        <v>146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41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x14ac:dyDescent="0.2">
      <c r="A55" s="67" t="s">
        <v>147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5" t="s">
        <v>148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6" t="s">
        <v>149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6" t="s">
        <v>150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 t="s">
        <v>151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 t="s">
        <v>152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5" t="s">
        <v>153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 t="s">
        <v>154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155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131</v>
      </c>
      <c r="X68" s="9"/>
      <c r="Y68" s="10" t="s">
        <v>132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156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131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132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157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131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132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158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131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159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131</v>
      </c>
      <c r="BG72" s="31"/>
      <c r="BH72" s="9"/>
      <c r="BI72" s="10"/>
      <c r="BJ72" s="9"/>
      <c r="BK72" s="10" t="s">
        <v>132</v>
      </c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160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161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66" t="s">
        <v>162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 t="s">
        <v>163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5" t="s">
        <v>164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 t="s">
        <v>165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 t="s">
        <v>166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66" t="s">
        <v>167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66" t="s">
        <v>168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66" t="s">
        <v>169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66" t="s">
        <v>170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66" t="s">
        <v>171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66" t="s">
        <v>172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8" t="s">
        <v>173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5" t="s">
        <v>174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5" t="s">
        <v>175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5" t="s">
        <v>176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45" t="s">
        <v>177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x14ac:dyDescent="0.2">
      <c r="A96" s="45" t="s">
        <v>178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45" t="s">
        <v>179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45" t="s">
        <v>180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45" t="s">
        <v>181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65" t="s">
        <v>182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65" t="s">
        <v>183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65" t="s">
        <v>184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x14ac:dyDescent="0.2">
      <c r="A107" s="66" t="s">
        <v>185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x14ac:dyDescent="0.2">
      <c r="A109" s="65" t="s">
        <v>186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x14ac:dyDescent="0.2">
      <c r="A110" s="66" t="s">
        <v>187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x14ac:dyDescent="0.2">
      <c r="A111" s="66" t="s">
        <v>188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x14ac:dyDescent="0.2">
      <c r="A112" s="66" t="s">
        <v>189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x14ac:dyDescent="0.2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x14ac:dyDescent="0.2">
      <c r="A114" s="65" t="s">
        <v>190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 x14ac:dyDescent="0.2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 x14ac:dyDescent="0.2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 x14ac:dyDescent="0.2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 x14ac:dyDescent="0.2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 x14ac:dyDescent="0.2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 x14ac:dyDescent="0.2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 x14ac:dyDescent="0.25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 x14ac:dyDescent="0.25">
      <c r="A122" s="16" t="s">
        <v>108</v>
      </c>
      <c r="B122" s="171">
        <v>22</v>
      </c>
      <c r="C122" s="162"/>
      <c r="D122" s="161">
        <v>22</v>
      </c>
      <c r="E122" s="162"/>
      <c r="F122" s="161">
        <v>22</v>
      </c>
      <c r="G122" s="162"/>
      <c r="H122" s="161">
        <v>22</v>
      </c>
      <c r="I122" s="162"/>
      <c r="J122" s="161">
        <v>22</v>
      </c>
      <c r="K122" s="162"/>
      <c r="L122" s="161">
        <v>0</v>
      </c>
      <c r="M122" s="162"/>
      <c r="N122" s="161">
        <v>0</v>
      </c>
      <c r="O122" s="162"/>
      <c r="P122" s="171">
        <v>22</v>
      </c>
      <c r="Q122" s="162"/>
      <c r="R122" s="161">
        <v>22</v>
      </c>
      <c r="S122" s="162"/>
      <c r="T122" s="161">
        <v>22</v>
      </c>
      <c r="U122" s="162"/>
      <c r="V122" s="161">
        <v>22</v>
      </c>
      <c r="W122" s="162"/>
      <c r="X122" s="161">
        <v>22</v>
      </c>
      <c r="Y122" s="162"/>
      <c r="Z122" s="161">
        <v>0</v>
      </c>
      <c r="AA122" s="162"/>
      <c r="AB122" s="161">
        <v>0</v>
      </c>
      <c r="AC122" s="162"/>
      <c r="AD122" s="171">
        <v>22</v>
      </c>
      <c r="AE122" s="162"/>
      <c r="AF122" s="161">
        <v>22</v>
      </c>
      <c r="AG122" s="162"/>
      <c r="AH122" s="161">
        <v>22</v>
      </c>
      <c r="AI122" s="162"/>
      <c r="AJ122" s="161">
        <v>22</v>
      </c>
      <c r="AK122" s="162"/>
      <c r="AL122" s="161">
        <v>22</v>
      </c>
      <c r="AM122" s="162"/>
      <c r="AN122" s="161">
        <v>0</v>
      </c>
      <c r="AO122" s="162"/>
      <c r="AP122" s="161">
        <v>0</v>
      </c>
      <c r="AQ122" s="162"/>
      <c r="AR122" s="171">
        <v>22</v>
      </c>
      <c r="AS122" s="162"/>
      <c r="AT122" s="161">
        <v>22</v>
      </c>
      <c r="AU122" s="162"/>
      <c r="AV122" s="161">
        <v>22</v>
      </c>
      <c r="AW122" s="162"/>
      <c r="AX122" s="161">
        <v>22</v>
      </c>
      <c r="AY122" s="162"/>
      <c r="AZ122" s="161">
        <v>22</v>
      </c>
      <c r="BA122" s="162"/>
      <c r="BB122" s="161">
        <v>0</v>
      </c>
      <c r="BC122" s="162"/>
      <c r="BD122" s="161">
        <v>0</v>
      </c>
      <c r="BE122" s="162"/>
      <c r="BF122" s="171">
        <v>22</v>
      </c>
      <c r="BG122" s="162"/>
      <c r="BH122" s="161">
        <v>22</v>
      </c>
      <c r="BI122" s="162"/>
      <c r="BJ122" s="161">
        <v>22</v>
      </c>
      <c r="BK122" s="162"/>
      <c r="BL122" s="161">
        <v>22</v>
      </c>
      <c r="BM122" s="162"/>
      <c r="BN122" s="161">
        <v>22</v>
      </c>
      <c r="BO122" s="162"/>
      <c r="BP122" s="161">
        <v>0</v>
      </c>
      <c r="BQ122" s="162"/>
      <c r="BR122" s="161">
        <v>0</v>
      </c>
      <c r="BS122" s="162"/>
    </row>
    <row r="123" spans="1:71" ht="12.75" customHeight="1" x14ac:dyDescent="0.2">
      <c r="A123" s="17" t="s">
        <v>109</v>
      </c>
      <c r="B123" s="17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77"/>
      <c r="P123" s="17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77"/>
      <c r="AD123" s="176"/>
      <c r="AE123" s="166"/>
      <c r="AF123" s="166"/>
      <c r="AG123" s="166"/>
      <c r="AH123" s="166"/>
      <c r="AI123" s="166"/>
      <c r="AJ123" s="166"/>
      <c r="AK123" s="166"/>
      <c r="AL123" s="166"/>
      <c r="AM123" s="166"/>
      <c r="AN123" s="166"/>
      <c r="AO123" s="166"/>
      <c r="AP123" s="166"/>
      <c r="AQ123" s="177"/>
      <c r="AR123" s="176"/>
      <c r="AS123" s="166"/>
      <c r="AT123" s="166"/>
      <c r="AU123" s="166"/>
      <c r="AV123" s="166"/>
      <c r="AW123" s="166"/>
      <c r="AX123" s="166"/>
      <c r="AY123" s="166"/>
      <c r="AZ123" s="166"/>
      <c r="BA123" s="166"/>
      <c r="BB123" s="166"/>
      <c r="BC123" s="166"/>
      <c r="BD123" s="166"/>
      <c r="BE123" s="177"/>
      <c r="BF123" s="176"/>
      <c r="BG123" s="166"/>
      <c r="BH123" s="166"/>
      <c r="BI123" s="166"/>
      <c r="BJ123" s="166"/>
      <c r="BK123" s="166"/>
      <c r="BL123" s="166"/>
      <c r="BM123" s="166"/>
      <c r="BN123" s="166"/>
      <c r="BO123" s="166"/>
      <c r="BP123" s="166"/>
      <c r="BQ123" s="166"/>
      <c r="BR123" s="166"/>
      <c r="BS123" s="177"/>
    </row>
    <row r="124" spans="1:71" ht="12.75" customHeight="1" x14ac:dyDescent="0.2">
      <c r="A124" s="195"/>
      <c r="B124" s="201" t="s">
        <v>191</v>
      </c>
      <c r="C124" s="179"/>
      <c r="D124" s="179"/>
      <c r="E124" s="179"/>
      <c r="F124" s="179"/>
      <c r="G124" s="179"/>
      <c r="H124" s="179"/>
      <c r="I124" s="179"/>
      <c r="J124" s="179"/>
      <c r="K124" s="179"/>
      <c r="L124" s="179"/>
      <c r="M124" s="179"/>
      <c r="N124" s="179"/>
      <c r="O124" s="180"/>
      <c r="P124" s="201" t="s">
        <v>192</v>
      </c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  <c r="AA124" s="179"/>
      <c r="AB124" s="179"/>
      <c r="AC124" s="180"/>
      <c r="AD124" s="201"/>
      <c r="AE124" s="179"/>
      <c r="AF124" s="179"/>
      <c r="AG124" s="179"/>
      <c r="AH124" s="179"/>
      <c r="AI124" s="179"/>
      <c r="AJ124" s="179"/>
      <c r="AK124" s="179"/>
      <c r="AL124" s="179"/>
      <c r="AM124" s="179"/>
      <c r="AN124" s="179"/>
      <c r="AO124" s="179"/>
      <c r="AP124" s="179"/>
      <c r="AQ124" s="180"/>
      <c r="AR124" s="201" t="s">
        <v>193</v>
      </c>
      <c r="AS124" s="179"/>
      <c r="AT124" s="179"/>
      <c r="AU124" s="179"/>
      <c r="AV124" s="179"/>
      <c r="AW124" s="179"/>
      <c r="AX124" s="179"/>
      <c r="AY124" s="179"/>
      <c r="AZ124" s="179"/>
      <c r="BA124" s="179"/>
      <c r="BB124" s="179"/>
      <c r="BC124" s="179"/>
      <c r="BD124" s="179"/>
      <c r="BE124" s="180"/>
      <c r="BF124" s="201" t="s">
        <v>193</v>
      </c>
      <c r="BG124" s="179"/>
      <c r="BH124" s="179"/>
      <c r="BI124" s="179"/>
      <c r="BJ124" s="179"/>
      <c r="BK124" s="179"/>
      <c r="BL124" s="179"/>
      <c r="BM124" s="179"/>
      <c r="BN124" s="179"/>
      <c r="BO124" s="179"/>
      <c r="BP124" s="179"/>
      <c r="BQ124" s="179"/>
      <c r="BR124" s="179"/>
      <c r="BS124" s="180"/>
    </row>
    <row r="125" spans="1:71" x14ac:dyDescent="0.2">
      <c r="A125" s="196"/>
      <c r="B125" s="181"/>
      <c r="C125" s="182"/>
      <c r="D125" s="182"/>
      <c r="E125" s="182"/>
      <c r="F125" s="182"/>
      <c r="G125" s="182"/>
      <c r="H125" s="182"/>
      <c r="I125" s="182"/>
      <c r="J125" s="182"/>
      <c r="K125" s="182"/>
      <c r="L125" s="182"/>
      <c r="M125" s="182"/>
      <c r="N125" s="182"/>
      <c r="O125" s="183"/>
      <c r="P125" s="181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2"/>
      <c r="AC125" s="183"/>
      <c r="AD125" s="181"/>
      <c r="AE125" s="182"/>
      <c r="AF125" s="182"/>
      <c r="AG125" s="182"/>
      <c r="AH125" s="182"/>
      <c r="AI125" s="182"/>
      <c r="AJ125" s="182"/>
      <c r="AK125" s="182"/>
      <c r="AL125" s="182"/>
      <c r="AM125" s="182"/>
      <c r="AN125" s="182"/>
      <c r="AO125" s="182"/>
      <c r="AP125" s="182"/>
      <c r="AQ125" s="183"/>
      <c r="AR125" s="181"/>
      <c r="AS125" s="182"/>
      <c r="AT125" s="182"/>
      <c r="AU125" s="182"/>
      <c r="AV125" s="182"/>
      <c r="AW125" s="182"/>
      <c r="AX125" s="182"/>
      <c r="AY125" s="182"/>
      <c r="AZ125" s="182"/>
      <c r="BA125" s="182"/>
      <c r="BB125" s="182"/>
      <c r="BC125" s="182"/>
      <c r="BD125" s="182"/>
      <c r="BE125" s="183"/>
      <c r="BF125" s="181"/>
      <c r="BG125" s="182"/>
      <c r="BH125" s="182"/>
      <c r="BI125" s="182"/>
      <c r="BJ125" s="182"/>
      <c r="BK125" s="182"/>
      <c r="BL125" s="182"/>
      <c r="BM125" s="182"/>
      <c r="BN125" s="182"/>
      <c r="BO125" s="182"/>
      <c r="BP125" s="182"/>
      <c r="BQ125" s="182"/>
      <c r="BR125" s="182"/>
      <c r="BS125" s="183"/>
    </row>
    <row r="126" spans="1:71" x14ac:dyDescent="0.2">
      <c r="A126" s="196"/>
      <c r="B126" s="181"/>
      <c r="C126" s="182"/>
      <c r="D126" s="182"/>
      <c r="E126" s="182"/>
      <c r="F126" s="182"/>
      <c r="G126" s="182"/>
      <c r="H126" s="182"/>
      <c r="I126" s="182"/>
      <c r="J126" s="182"/>
      <c r="K126" s="182"/>
      <c r="L126" s="182"/>
      <c r="M126" s="182"/>
      <c r="N126" s="182"/>
      <c r="O126" s="183"/>
      <c r="P126" s="181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2"/>
      <c r="AC126" s="183"/>
      <c r="AD126" s="181"/>
      <c r="AE126" s="182"/>
      <c r="AF126" s="182"/>
      <c r="AG126" s="182"/>
      <c r="AH126" s="182"/>
      <c r="AI126" s="182"/>
      <c r="AJ126" s="182"/>
      <c r="AK126" s="182"/>
      <c r="AL126" s="182"/>
      <c r="AM126" s="182"/>
      <c r="AN126" s="182"/>
      <c r="AO126" s="182"/>
      <c r="AP126" s="182"/>
      <c r="AQ126" s="183"/>
      <c r="AR126" s="181"/>
      <c r="AS126" s="182"/>
      <c r="AT126" s="182"/>
      <c r="AU126" s="182"/>
      <c r="AV126" s="182"/>
      <c r="AW126" s="182"/>
      <c r="AX126" s="182"/>
      <c r="AY126" s="182"/>
      <c r="AZ126" s="182"/>
      <c r="BA126" s="182"/>
      <c r="BB126" s="182"/>
      <c r="BC126" s="182"/>
      <c r="BD126" s="182"/>
      <c r="BE126" s="183"/>
      <c r="BF126" s="181"/>
      <c r="BG126" s="182"/>
      <c r="BH126" s="182"/>
      <c r="BI126" s="182"/>
      <c r="BJ126" s="182"/>
      <c r="BK126" s="182"/>
      <c r="BL126" s="182"/>
      <c r="BM126" s="182"/>
      <c r="BN126" s="182"/>
      <c r="BO126" s="182"/>
      <c r="BP126" s="182"/>
      <c r="BQ126" s="182"/>
      <c r="BR126" s="182"/>
      <c r="BS126" s="183"/>
    </row>
    <row r="127" spans="1:71" x14ac:dyDescent="0.2">
      <c r="A127" s="196"/>
      <c r="B127" s="181"/>
      <c r="C127" s="182"/>
      <c r="D127" s="182"/>
      <c r="E127" s="182"/>
      <c r="F127" s="182"/>
      <c r="G127" s="182"/>
      <c r="H127" s="182"/>
      <c r="I127" s="182"/>
      <c r="J127" s="182"/>
      <c r="K127" s="182"/>
      <c r="L127" s="182"/>
      <c r="M127" s="182"/>
      <c r="N127" s="182"/>
      <c r="O127" s="183"/>
      <c r="P127" s="181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3"/>
      <c r="AD127" s="181"/>
      <c r="AE127" s="182"/>
      <c r="AF127" s="182"/>
      <c r="AG127" s="182"/>
      <c r="AH127" s="182"/>
      <c r="AI127" s="182"/>
      <c r="AJ127" s="182"/>
      <c r="AK127" s="182"/>
      <c r="AL127" s="182"/>
      <c r="AM127" s="182"/>
      <c r="AN127" s="182"/>
      <c r="AO127" s="182"/>
      <c r="AP127" s="182"/>
      <c r="AQ127" s="183"/>
      <c r="AR127" s="181"/>
      <c r="AS127" s="182"/>
      <c r="AT127" s="182"/>
      <c r="AU127" s="182"/>
      <c r="AV127" s="182"/>
      <c r="AW127" s="182"/>
      <c r="AX127" s="182"/>
      <c r="AY127" s="182"/>
      <c r="AZ127" s="182"/>
      <c r="BA127" s="182"/>
      <c r="BB127" s="182"/>
      <c r="BC127" s="182"/>
      <c r="BD127" s="182"/>
      <c r="BE127" s="183"/>
      <c r="BF127" s="181"/>
      <c r="BG127" s="182"/>
      <c r="BH127" s="182"/>
      <c r="BI127" s="182"/>
      <c r="BJ127" s="182"/>
      <c r="BK127" s="182"/>
      <c r="BL127" s="182"/>
      <c r="BM127" s="182"/>
      <c r="BN127" s="182"/>
      <c r="BO127" s="182"/>
      <c r="BP127" s="182"/>
      <c r="BQ127" s="182"/>
      <c r="BR127" s="182"/>
      <c r="BS127" s="183"/>
    </row>
    <row r="128" spans="1:71" x14ac:dyDescent="0.2">
      <c r="A128" s="196"/>
      <c r="B128" s="181"/>
      <c r="C128" s="182"/>
      <c r="D128" s="182"/>
      <c r="E128" s="182"/>
      <c r="F128" s="182"/>
      <c r="G128" s="182"/>
      <c r="H128" s="182"/>
      <c r="I128" s="182"/>
      <c r="J128" s="182"/>
      <c r="K128" s="182"/>
      <c r="L128" s="182"/>
      <c r="M128" s="182"/>
      <c r="N128" s="182"/>
      <c r="O128" s="183"/>
      <c r="P128" s="181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2"/>
      <c r="AC128" s="183"/>
      <c r="AD128" s="181"/>
      <c r="AE128" s="182"/>
      <c r="AF128" s="182"/>
      <c r="AG128" s="182"/>
      <c r="AH128" s="182"/>
      <c r="AI128" s="182"/>
      <c r="AJ128" s="182"/>
      <c r="AK128" s="182"/>
      <c r="AL128" s="182"/>
      <c r="AM128" s="182"/>
      <c r="AN128" s="182"/>
      <c r="AO128" s="182"/>
      <c r="AP128" s="182"/>
      <c r="AQ128" s="183"/>
      <c r="AR128" s="181"/>
      <c r="AS128" s="182"/>
      <c r="AT128" s="182"/>
      <c r="AU128" s="182"/>
      <c r="AV128" s="182"/>
      <c r="AW128" s="182"/>
      <c r="AX128" s="182"/>
      <c r="AY128" s="182"/>
      <c r="AZ128" s="182"/>
      <c r="BA128" s="182"/>
      <c r="BB128" s="182"/>
      <c r="BC128" s="182"/>
      <c r="BD128" s="182"/>
      <c r="BE128" s="183"/>
      <c r="BF128" s="181"/>
      <c r="BG128" s="182"/>
      <c r="BH128" s="182"/>
      <c r="BI128" s="182"/>
      <c r="BJ128" s="182"/>
      <c r="BK128" s="182"/>
      <c r="BL128" s="182"/>
      <c r="BM128" s="182"/>
      <c r="BN128" s="182"/>
      <c r="BO128" s="182"/>
      <c r="BP128" s="182"/>
      <c r="BQ128" s="182"/>
      <c r="BR128" s="182"/>
      <c r="BS128" s="183"/>
    </row>
    <row r="129" spans="1:71" x14ac:dyDescent="0.2">
      <c r="A129" s="196"/>
      <c r="B129" s="181"/>
      <c r="C129" s="182"/>
      <c r="D129" s="182"/>
      <c r="E129" s="182"/>
      <c r="F129" s="182"/>
      <c r="G129" s="182"/>
      <c r="H129" s="182"/>
      <c r="I129" s="182"/>
      <c r="J129" s="182"/>
      <c r="K129" s="182"/>
      <c r="L129" s="182"/>
      <c r="M129" s="182"/>
      <c r="N129" s="182"/>
      <c r="O129" s="183"/>
      <c r="P129" s="181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2"/>
      <c r="AC129" s="183"/>
      <c r="AD129" s="181"/>
      <c r="AE129" s="182"/>
      <c r="AF129" s="182"/>
      <c r="AG129" s="182"/>
      <c r="AH129" s="182"/>
      <c r="AI129" s="182"/>
      <c r="AJ129" s="182"/>
      <c r="AK129" s="182"/>
      <c r="AL129" s="182"/>
      <c r="AM129" s="182"/>
      <c r="AN129" s="182"/>
      <c r="AO129" s="182"/>
      <c r="AP129" s="182"/>
      <c r="AQ129" s="183"/>
      <c r="AR129" s="181"/>
      <c r="AS129" s="182"/>
      <c r="AT129" s="182"/>
      <c r="AU129" s="182"/>
      <c r="AV129" s="182"/>
      <c r="AW129" s="182"/>
      <c r="AX129" s="182"/>
      <c r="AY129" s="182"/>
      <c r="AZ129" s="182"/>
      <c r="BA129" s="182"/>
      <c r="BB129" s="182"/>
      <c r="BC129" s="182"/>
      <c r="BD129" s="182"/>
      <c r="BE129" s="183"/>
      <c r="BF129" s="181"/>
      <c r="BG129" s="182"/>
      <c r="BH129" s="182"/>
      <c r="BI129" s="182"/>
      <c r="BJ129" s="182"/>
      <c r="BK129" s="182"/>
      <c r="BL129" s="182"/>
      <c r="BM129" s="182"/>
      <c r="BN129" s="182"/>
      <c r="BO129" s="182"/>
      <c r="BP129" s="182"/>
      <c r="BQ129" s="182"/>
      <c r="BR129" s="182"/>
      <c r="BS129" s="183"/>
    </row>
    <row r="130" spans="1:71" ht="13.5" customHeight="1" thickBot="1" x14ac:dyDescent="0.25">
      <c r="A130" s="197"/>
      <c r="B130" s="184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6"/>
      <c r="P130" s="184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  <c r="AC130" s="186"/>
      <c r="AD130" s="184"/>
      <c r="AE130" s="185"/>
      <c r="AF130" s="185"/>
      <c r="AG130" s="185"/>
      <c r="AH130" s="185"/>
      <c r="AI130" s="185"/>
      <c r="AJ130" s="185"/>
      <c r="AK130" s="185"/>
      <c r="AL130" s="185"/>
      <c r="AM130" s="185"/>
      <c r="AN130" s="185"/>
      <c r="AO130" s="185"/>
      <c r="AP130" s="185"/>
      <c r="AQ130" s="186"/>
      <c r="AR130" s="184"/>
      <c r="AS130" s="185"/>
      <c r="AT130" s="185"/>
      <c r="AU130" s="185"/>
      <c r="AV130" s="185"/>
      <c r="AW130" s="185"/>
      <c r="AX130" s="185"/>
      <c r="AY130" s="185"/>
      <c r="AZ130" s="185"/>
      <c r="BA130" s="185"/>
      <c r="BB130" s="185"/>
      <c r="BC130" s="185"/>
      <c r="BD130" s="185"/>
      <c r="BE130" s="186"/>
      <c r="BF130" s="184"/>
      <c r="BG130" s="185"/>
      <c r="BH130" s="185"/>
      <c r="BI130" s="185"/>
      <c r="BJ130" s="185"/>
      <c r="BK130" s="185"/>
      <c r="BL130" s="185"/>
      <c r="BM130" s="185"/>
      <c r="BN130" s="185"/>
      <c r="BO130" s="185"/>
      <c r="BP130" s="185"/>
      <c r="BQ130" s="185"/>
      <c r="BR130" s="185"/>
      <c r="BS130" s="186"/>
    </row>
  </sheetData>
  <mergeCells count="128"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D4:E4"/>
    <mergeCell ref="X122:Y122"/>
    <mergeCell ref="AR123:BE123"/>
    <mergeCell ref="AF122:AG122"/>
    <mergeCell ref="AZ122:BA122"/>
    <mergeCell ref="H5:I5"/>
    <mergeCell ref="AL122:AM122"/>
    <mergeCell ref="F4:G4"/>
    <mergeCell ref="B123:O123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S122"/>
  <sheetViews>
    <sheetView topLeftCell="A9" zoomScale="70" zoomScaleNormal="70" zoomScaleSheetLayoutView="40" workbookViewId="0">
      <selection activeCell="A74" sqref="A74:XFD74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99" t="s">
        <v>0</v>
      </c>
      <c r="B1" s="202">
        <v>46216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68" t="s">
        <v>2</v>
      </c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91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91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92"/>
      <c r="BG1" s="169"/>
      <c r="BH1" s="169"/>
      <c r="BI1" s="169"/>
      <c r="BJ1" s="169"/>
      <c r="BK1" s="169"/>
      <c r="BL1" s="169"/>
      <c r="BM1" s="169"/>
      <c r="BN1" s="169"/>
      <c r="BO1" s="169"/>
      <c r="BP1" s="169"/>
      <c r="BQ1" s="169"/>
      <c r="BR1" s="169"/>
      <c r="BS1" s="193"/>
    </row>
    <row r="2" spans="1:71" ht="13.5" customHeight="1" thickBot="1" x14ac:dyDescent="0.25">
      <c r="A2" s="200"/>
      <c r="B2" s="185"/>
      <c r="C2" s="185"/>
      <c r="D2" s="185"/>
      <c r="E2" s="185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72" t="s">
        <v>4</v>
      </c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94"/>
    </row>
    <row r="3" spans="1:71" x14ac:dyDescent="0.2">
      <c r="A3" s="12"/>
      <c r="B3" s="165" t="str">
        <f>"Woche " &amp; WEEKNUM(B4)</f>
        <v>Woche 29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7"/>
      <c r="P3" s="187" t="str">
        <f>"Woche " &amp; WEEKNUM(P4)</f>
        <v>Woche 30</v>
      </c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7"/>
      <c r="AD3" s="187" t="str">
        <f>"Woche " &amp; WEEKNUM(AD4)</f>
        <v>Woche 31</v>
      </c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7"/>
      <c r="AR3" s="187" t="str">
        <f>"Woche " &amp; WEEKNUM(AR4)</f>
        <v>Woche 32</v>
      </c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6"/>
      <c r="BE3" s="167"/>
      <c r="BF3" s="187" t="str">
        <f>"Woche " &amp; WEEKNUM(BF4)</f>
        <v>Woche 33</v>
      </c>
      <c r="BG3" s="166"/>
      <c r="BH3" s="166"/>
      <c r="BI3" s="166"/>
      <c r="BJ3" s="166"/>
      <c r="BK3" s="166"/>
      <c r="BL3" s="166"/>
      <c r="BM3" s="166"/>
      <c r="BN3" s="166"/>
      <c r="BO3" s="166"/>
      <c r="BP3" s="166"/>
      <c r="BQ3" s="166"/>
      <c r="BR3" s="166"/>
      <c r="BS3" s="167"/>
    </row>
    <row r="4" spans="1:71" x14ac:dyDescent="0.2">
      <c r="A4" s="13"/>
      <c r="B4" s="174">
        <f>B1</f>
        <v>46216</v>
      </c>
      <c r="C4" s="175"/>
      <c r="D4" s="174">
        <f>B4+1</f>
        <v>46217</v>
      </c>
      <c r="E4" s="175"/>
      <c r="F4" s="174">
        <f>D4+1</f>
        <v>46218</v>
      </c>
      <c r="G4" s="175"/>
      <c r="H4" s="174">
        <f>F4+1</f>
        <v>46219</v>
      </c>
      <c r="I4" s="175"/>
      <c r="J4" s="174">
        <f>H4+1</f>
        <v>46220</v>
      </c>
      <c r="K4" s="175"/>
      <c r="L4" s="174">
        <f>J4+1</f>
        <v>46221</v>
      </c>
      <c r="M4" s="175"/>
      <c r="N4" s="174">
        <f>L4+1</f>
        <v>46222</v>
      </c>
      <c r="O4" s="175"/>
      <c r="P4" s="174">
        <f>N4+1</f>
        <v>46223</v>
      </c>
      <c r="Q4" s="175"/>
      <c r="R4" s="174">
        <f>P4+1</f>
        <v>46224</v>
      </c>
      <c r="S4" s="175"/>
      <c r="T4" s="174">
        <f>R4+1</f>
        <v>46225</v>
      </c>
      <c r="U4" s="175"/>
      <c r="V4" s="174">
        <f>T4+1</f>
        <v>46226</v>
      </c>
      <c r="W4" s="175"/>
      <c r="X4" s="174">
        <f>V4+1</f>
        <v>46227</v>
      </c>
      <c r="Y4" s="175"/>
      <c r="Z4" s="174">
        <f>X4+1</f>
        <v>46228</v>
      </c>
      <c r="AA4" s="175"/>
      <c r="AB4" s="188">
        <f>Z4+1</f>
        <v>46229</v>
      </c>
      <c r="AC4" s="175"/>
      <c r="AD4" s="188">
        <f>AB4+1</f>
        <v>46230</v>
      </c>
      <c r="AE4" s="175"/>
      <c r="AF4" s="174">
        <f>AD4+1</f>
        <v>46231</v>
      </c>
      <c r="AG4" s="175"/>
      <c r="AH4" s="174">
        <f>AF4+1</f>
        <v>46232</v>
      </c>
      <c r="AI4" s="175"/>
      <c r="AJ4" s="174">
        <f>AH4+1</f>
        <v>46233</v>
      </c>
      <c r="AK4" s="175"/>
      <c r="AL4" s="174">
        <f>AJ4+1</f>
        <v>46234</v>
      </c>
      <c r="AM4" s="175"/>
      <c r="AN4" s="174">
        <f>AL4+1</f>
        <v>46235</v>
      </c>
      <c r="AO4" s="175"/>
      <c r="AP4" s="174">
        <f>AN4+1</f>
        <v>46236</v>
      </c>
      <c r="AQ4" s="175"/>
      <c r="AR4" s="174">
        <f>AP4+1</f>
        <v>46237</v>
      </c>
      <c r="AS4" s="175"/>
      <c r="AT4" s="174">
        <f>AR4+1</f>
        <v>46238</v>
      </c>
      <c r="AU4" s="175"/>
      <c r="AV4" s="174">
        <f>AT4+1</f>
        <v>46239</v>
      </c>
      <c r="AW4" s="175"/>
      <c r="AX4" s="174">
        <f>AV4+1</f>
        <v>46240</v>
      </c>
      <c r="AY4" s="175"/>
      <c r="AZ4" s="174">
        <f>AX4+1</f>
        <v>46241</v>
      </c>
      <c r="BA4" s="175"/>
      <c r="BB4" s="174">
        <f>AZ4+1</f>
        <v>46242</v>
      </c>
      <c r="BC4" s="175"/>
      <c r="BD4" s="174">
        <f>BB4+1</f>
        <v>46243</v>
      </c>
      <c r="BE4" s="175"/>
      <c r="BF4" s="174">
        <f>BD4+1</f>
        <v>46244</v>
      </c>
      <c r="BG4" s="175"/>
      <c r="BH4" s="174">
        <f>BF4+1</f>
        <v>46245</v>
      </c>
      <c r="BI4" s="175"/>
      <c r="BJ4" s="174">
        <f>BH4+1</f>
        <v>46246</v>
      </c>
      <c r="BK4" s="175"/>
      <c r="BL4" s="174">
        <f>BJ4+1</f>
        <v>46247</v>
      </c>
      <c r="BM4" s="175"/>
      <c r="BN4" s="174">
        <f>BL4+1</f>
        <v>46248</v>
      </c>
      <c r="BO4" s="175"/>
      <c r="BP4" s="174">
        <f>BN4+1</f>
        <v>46249</v>
      </c>
      <c r="BQ4" s="175"/>
      <c r="BR4" s="174">
        <f>BP4+1</f>
        <v>46250</v>
      </c>
      <c r="BS4" s="175"/>
    </row>
    <row r="5" spans="1:71" x14ac:dyDescent="0.2">
      <c r="A5" s="75"/>
      <c r="B5" s="198" t="s">
        <v>8</v>
      </c>
      <c r="C5" s="164"/>
      <c r="D5" s="163" t="s">
        <v>9</v>
      </c>
      <c r="E5" s="164"/>
      <c r="F5" s="163" t="s">
        <v>10</v>
      </c>
      <c r="G5" s="164"/>
      <c r="H5" s="163" t="s">
        <v>11</v>
      </c>
      <c r="I5" s="164"/>
      <c r="J5" s="163" t="s">
        <v>12</v>
      </c>
      <c r="K5" s="164"/>
      <c r="L5" s="163" t="s">
        <v>13</v>
      </c>
      <c r="M5" s="164"/>
      <c r="N5" s="163" t="s">
        <v>14</v>
      </c>
      <c r="O5" s="164"/>
      <c r="P5" s="170" t="s">
        <v>8</v>
      </c>
      <c r="Q5" s="164"/>
      <c r="R5" s="163" t="s">
        <v>9</v>
      </c>
      <c r="S5" s="164"/>
      <c r="T5" s="163" t="s">
        <v>10</v>
      </c>
      <c r="U5" s="164"/>
      <c r="V5" s="163" t="s">
        <v>11</v>
      </c>
      <c r="W5" s="164"/>
      <c r="X5" s="163" t="s">
        <v>12</v>
      </c>
      <c r="Y5" s="164"/>
      <c r="Z5" s="163" t="s">
        <v>13</v>
      </c>
      <c r="AA5" s="164"/>
      <c r="AB5" s="163" t="s">
        <v>14</v>
      </c>
      <c r="AC5" s="164"/>
      <c r="AD5" s="170" t="s">
        <v>8</v>
      </c>
      <c r="AE5" s="164"/>
      <c r="AF5" s="163" t="s">
        <v>9</v>
      </c>
      <c r="AG5" s="164"/>
      <c r="AH5" s="163" t="s">
        <v>10</v>
      </c>
      <c r="AI5" s="164"/>
      <c r="AJ5" s="163" t="s">
        <v>11</v>
      </c>
      <c r="AK5" s="164"/>
      <c r="AL5" s="163" t="s">
        <v>12</v>
      </c>
      <c r="AM5" s="164"/>
      <c r="AN5" s="163" t="s">
        <v>13</v>
      </c>
      <c r="AO5" s="164"/>
      <c r="AP5" s="163" t="s">
        <v>14</v>
      </c>
      <c r="AQ5" s="164"/>
      <c r="AR5" s="170" t="s">
        <v>8</v>
      </c>
      <c r="AS5" s="164"/>
      <c r="AT5" s="163" t="s">
        <v>9</v>
      </c>
      <c r="AU5" s="164"/>
      <c r="AV5" s="163" t="s">
        <v>10</v>
      </c>
      <c r="AW5" s="164"/>
      <c r="AX5" s="163" t="s">
        <v>11</v>
      </c>
      <c r="AY5" s="164"/>
      <c r="AZ5" s="163" t="s">
        <v>12</v>
      </c>
      <c r="BA5" s="164"/>
      <c r="BB5" s="163" t="s">
        <v>13</v>
      </c>
      <c r="BC5" s="164"/>
      <c r="BD5" s="163" t="s">
        <v>14</v>
      </c>
      <c r="BE5" s="164"/>
      <c r="BF5" s="170" t="s">
        <v>8</v>
      </c>
      <c r="BG5" s="164"/>
      <c r="BH5" s="163" t="s">
        <v>9</v>
      </c>
      <c r="BI5" s="164"/>
      <c r="BJ5" s="163" t="s">
        <v>10</v>
      </c>
      <c r="BK5" s="164"/>
      <c r="BL5" s="163" t="s">
        <v>11</v>
      </c>
      <c r="BM5" s="164"/>
      <c r="BN5" s="163" t="s">
        <v>12</v>
      </c>
      <c r="BO5" s="164"/>
      <c r="BP5" s="163" t="s">
        <v>13</v>
      </c>
      <c r="BQ5" s="164"/>
      <c r="BR5" s="163" t="s">
        <v>14</v>
      </c>
      <c r="BS5" s="164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194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82" t="s">
        <v>195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82" t="s">
        <v>196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82" t="s">
        <v>197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 x14ac:dyDescent="0.2">
      <c r="A31" s="18" t="s">
        <v>127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53" t="s">
        <v>198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 x14ac:dyDescent="0.2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 x14ac:dyDescent="0.2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 x14ac:dyDescent="0.2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 x14ac:dyDescent="0.2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 x14ac:dyDescent="0.2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 x14ac:dyDescent="0.2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 x14ac:dyDescent="0.2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 x14ac:dyDescent="0.2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 x14ac:dyDescent="0.2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 x14ac:dyDescent="0.2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 x14ac:dyDescent="0.2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 x14ac:dyDescent="0.2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 x14ac:dyDescent="0.2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 x14ac:dyDescent="0.2">
      <c r="A54" s="65" t="s">
        <v>142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 x14ac:dyDescent="0.2">
      <c r="A55" s="65" t="s">
        <v>143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 x14ac:dyDescent="0.2">
      <c r="A56" s="67" t="s">
        <v>199</v>
      </c>
      <c r="B56" s="32"/>
      <c r="C56" s="31"/>
      <c r="D56" s="9"/>
      <c r="E56" s="10"/>
      <c r="F56" s="9"/>
      <c r="G56" s="10"/>
      <c r="H56" s="9"/>
      <c r="I56" s="10"/>
      <c r="J56" s="54" t="s">
        <v>41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 t="s">
        <v>200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41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7" t="s">
        <v>201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41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7" t="s">
        <v>202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5" t="s">
        <v>153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5" t="s">
        <v>154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 t="s">
        <v>203</v>
      </c>
      <c r="B66" s="203" t="s">
        <v>204</v>
      </c>
      <c r="C66" s="204"/>
      <c r="D66" s="204"/>
      <c r="E66" s="204"/>
      <c r="F66" s="204"/>
      <c r="G66" s="204"/>
      <c r="H66" s="204"/>
      <c r="I66" s="204"/>
      <c r="J66" s="204"/>
      <c r="K66" s="205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6" t="s">
        <v>205</v>
      </c>
      <c r="B67" s="181"/>
      <c r="C67" s="182"/>
      <c r="D67" s="182"/>
      <c r="E67" s="182"/>
      <c r="F67" s="182"/>
      <c r="G67" s="182"/>
      <c r="H67" s="182"/>
      <c r="I67" s="182"/>
      <c r="J67" s="182"/>
      <c r="K67" s="206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206</v>
      </c>
      <c r="B68" s="181"/>
      <c r="C68" s="182"/>
      <c r="D68" s="182"/>
      <c r="E68" s="182"/>
      <c r="F68" s="182"/>
      <c r="G68" s="182"/>
      <c r="H68" s="182"/>
      <c r="I68" s="182"/>
      <c r="J68" s="182"/>
      <c r="K68" s="206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207</v>
      </c>
      <c r="B69" s="207"/>
      <c r="C69" s="208"/>
      <c r="D69" s="208"/>
      <c r="E69" s="208"/>
      <c r="F69" s="208"/>
      <c r="G69" s="208"/>
      <c r="H69" s="208"/>
      <c r="I69" s="208"/>
      <c r="J69" s="208"/>
      <c r="K69" s="209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208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209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210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 t="s">
        <v>211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210" t="s">
        <v>212</v>
      </c>
      <c r="W73" s="211"/>
      <c r="X73" s="211"/>
      <c r="Y73" s="212"/>
      <c r="Z73" s="33"/>
      <c r="AA73" s="34"/>
      <c r="AB73" s="33"/>
      <c r="AC73" s="35"/>
      <c r="AD73" s="213" t="s">
        <v>213</v>
      </c>
      <c r="AE73" s="211"/>
      <c r="AF73" s="211"/>
      <c r="AG73" s="211"/>
      <c r="AH73" s="211"/>
      <c r="AI73" s="211"/>
      <c r="AJ73" s="211"/>
      <c r="AK73" s="211"/>
      <c r="AL73" s="211"/>
      <c r="AM73" s="212"/>
      <c r="AN73" s="33"/>
      <c r="AO73" s="34"/>
      <c r="AP73" s="33"/>
      <c r="AQ73" s="35"/>
      <c r="AR73" s="79" t="s">
        <v>213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214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215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 x14ac:dyDescent="0.2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8" t="s">
        <v>173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5" t="s">
        <v>216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5" t="s">
        <v>217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45" t="s">
        <v>218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45" t="s">
        <v>219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 x14ac:dyDescent="0.25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 x14ac:dyDescent="0.2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 x14ac:dyDescent="0.2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 x14ac:dyDescent="0.2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 x14ac:dyDescent="0.2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 x14ac:dyDescent="0.2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 x14ac:dyDescent="0.2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 x14ac:dyDescent="0.2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 x14ac:dyDescent="0.2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 x14ac:dyDescent="0.2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 x14ac:dyDescent="0.2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 x14ac:dyDescent="0.2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 x14ac:dyDescent="0.2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 x14ac:dyDescent="0.2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 x14ac:dyDescent="0.2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 x14ac:dyDescent="0.2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 x14ac:dyDescent="0.2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 x14ac:dyDescent="0.2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 x14ac:dyDescent="0.2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 x14ac:dyDescent="0.2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 x14ac:dyDescent="0.2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 x14ac:dyDescent="0.25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 x14ac:dyDescent="0.25">
      <c r="A114" s="16" t="s">
        <v>108</v>
      </c>
      <c r="B114" s="171">
        <v>22</v>
      </c>
      <c r="C114" s="162"/>
      <c r="D114" s="161">
        <v>22</v>
      </c>
      <c r="E114" s="162"/>
      <c r="F114" s="161">
        <v>22</v>
      </c>
      <c r="G114" s="162"/>
      <c r="H114" s="161">
        <v>22</v>
      </c>
      <c r="I114" s="162"/>
      <c r="J114" s="161">
        <v>22</v>
      </c>
      <c r="K114" s="162"/>
      <c r="L114" s="161">
        <v>0</v>
      </c>
      <c r="M114" s="162"/>
      <c r="N114" s="161">
        <v>0</v>
      </c>
      <c r="O114" s="162"/>
      <c r="P114" s="171">
        <v>22</v>
      </c>
      <c r="Q114" s="162"/>
      <c r="R114" s="161">
        <v>22</v>
      </c>
      <c r="S114" s="162"/>
      <c r="T114" s="161">
        <v>22</v>
      </c>
      <c r="U114" s="162"/>
      <c r="V114" s="161">
        <v>22</v>
      </c>
      <c r="W114" s="162"/>
      <c r="X114" s="161">
        <v>22</v>
      </c>
      <c r="Y114" s="162"/>
      <c r="Z114" s="161">
        <v>0</v>
      </c>
      <c r="AA114" s="162"/>
      <c r="AB114" s="161">
        <v>0</v>
      </c>
      <c r="AC114" s="162"/>
      <c r="AD114" s="171">
        <v>22</v>
      </c>
      <c r="AE114" s="162"/>
      <c r="AF114" s="161">
        <v>22</v>
      </c>
      <c r="AG114" s="162"/>
      <c r="AH114" s="161">
        <v>22</v>
      </c>
      <c r="AI114" s="162"/>
      <c r="AJ114" s="161">
        <v>22</v>
      </c>
      <c r="AK114" s="162"/>
      <c r="AL114" s="161">
        <v>22</v>
      </c>
      <c r="AM114" s="162"/>
      <c r="AN114" s="161">
        <v>0</v>
      </c>
      <c r="AO114" s="162"/>
      <c r="AP114" s="161">
        <v>0</v>
      </c>
      <c r="AQ114" s="162"/>
      <c r="AR114" s="171">
        <v>22</v>
      </c>
      <c r="AS114" s="162"/>
      <c r="AT114" s="161">
        <v>22</v>
      </c>
      <c r="AU114" s="162"/>
      <c r="AV114" s="161">
        <v>22</v>
      </c>
      <c r="AW114" s="162"/>
      <c r="AX114" s="161">
        <v>22</v>
      </c>
      <c r="AY114" s="162"/>
      <c r="AZ114" s="161">
        <v>22</v>
      </c>
      <c r="BA114" s="162"/>
      <c r="BB114" s="161">
        <v>0</v>
      </c>
      <c r="BC114" s="162"/>
      <c r="BD114" s="161">
        <v>0</v>
      </c>
      <c r="BE114" s="162"/>
      <c r="BF114" s="171">
        <v>22</v>
      </c>
      <c r="BG114" s="162"/>
      <c r="BH114" s="161">
        <v>22</v>
      </c>
      <c r="BI114" s="162"/>
      <c r="BJ114" s="161">
        <v>22</v>
      </c>
      <c r="BK114" s="162"/>
      <c r="BL114" s="161">
        <v>22</v>
      </c>
      <c r="BM114" s="162"/>
      <c r="BN114" s="161">
        <v>22</v>
      </c>
      <c r="BO114" s="162"/>
      <c r="BP114" s="161">
        <v>0</v>
      </c>
      <c r="BQ114" s="162"/>
      <c r="BR114" s="161">
        <v>0</v>
      </c>
      <c r="BS114" s="162"/>
    </row>
    <row r="115" spans="1:71" ht="12.75" customHeight="1" x14ac:dyDescent="0.2">
      <c r="A115" s="17" t="s">
        <v>109</v>
      </c>
      <c r="B115" s="17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77"/>
      <c r="P115" s="176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77"/>
      <c r="AD115" s="176"/>
      <c r="AE115" s="166"/>
      <c r="AF115" s="166"/>
      <c r="AG115" s="166"/>
      <c r="AH115" s="166"/>
      <c r="AI115" s="166"/>
      <c r="AJ115" s="166"/>
      <c r="AK115" s="166"/>
      <c r="AL115" s="166"/>
      <c r="AM115" s="166"/>
      <c r="AN115" s="166"/>
      <c r="AO115" s="166"/>
      <c r="AP115" s="166"/>
      <c r="AQ115" s="177"/>
      <c r="AR115" s="176"/>
      <c r="AS115" s="166"/>
      <c r="AT115" s="166"/>
      <c r="AU115" s="166"/>
      <c r="AV115" s="166"/>
      <c r="AW115" s="166"/>
      <c r="AX115" s="166"/>
      <c r="AY115" s="166"/>
      <c r="AZ115" s="166"/>
      <c r="BA115" s="166"/>
      <c r="BB115" s="166"/>
      <c r="BC115" s="166"/>
      <c r="BD115" s="166"/>
      <c r="BE115" s="177"/>
      <c r="BF115" s="176"/>
      <c r="BG115" s="166"/>
      <c r="BH115" s="166"/>
      <c r="BI115" s="166"/>
      <c r="BJ115" s="166"/>
      <c r="BK115" s="166"/>
      <c r="BL115" s="166"/>
      <c r="BM115" s="166"/>
      <c r="BN115" s="166"/>
      <c r="BO115" s="166"/>
      <c r="BP115" s="166"/>
      <c r="BQ115" s="166"/>
      <c r="BR115" s="166"/>
      <c r="BS115" s="177"/>
    </row>
    <row r="116" spans="1:71" ht="12.75" customHeight="1" x14ac:dyDescent="0.2">
      <c r="A116" s="195"/>
      <c r="B116" s="201" t="s">
        <v>220</v>
      </c>
      <c r="C116" s="179"/>
      <c r="D116" s="179"/>
      <c r="E116" s="179"/>
      <c r="F116" s="179"/>
      <c r="G116" s="179"/>
      <c r="H116" s="179"/>
      <c r="I116" s="179"/>
      <c r="J116" s="179"/>
      <c r="K116" s="179"/>
      <c r="L116" s="179"/>
      <c r="M116" s="179"/>
      <c r="N116" s="179"/>
      <c r="O116" s="180"/>
      <c r="P116" s="201" t="s">
        <v>221</v>
      </c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  <c r="AA116" s="179"/>
      <c r="AB116" s="179"/>
      <c r="AC116" s="180"/>
      <c r="AD116" s="201" t="s">
        <v>222</v>
      </c>
      <c r="AE116" s="179"/>
      <c r="AF116" s="179"/>
      <c r="AG116" s="179"/>
      <c r="AH116" s="179"/>
      <c r="AI116" s="179"/>
      <c r="AJ116" s="179"/>
      <c r="AK116" s="179"/>
      <c r="AL116" s="179"/>
      <c r="AM116" s="179"/>
      <c r="AN116" s="179"/>
      <c r="AO116" s="179"/>
      <c r="AP116" s="179"/>
      <c r="AQ116" s="180"/>
      <c r="AR116" s="201"/>
      <c r="AS116" s="179"/>
      <c r="AT116" s="179"/>
      <c r="AU116" s="179"/>
      <c r="AV116" s="179"/>
      <c r="AW116" s="179"/>
      <c r="AX116" s="179"/>
      <c r="AY116" s="179"/>
      <c r="AZ116" s="179"/>
      <c r="BA116" s="179"/>
      <c r="BB116" s="179"/>
      <c r="BC116" s="179"/>
      <c r="BD116" s="179"/>
      <c r="BE116" s="180"/>
      <c r="BF116" s="201"/>
      <c r="BG116" s="179"/>
      <c r="BH116" s="179"/>
      <c r="BI116" s="179"/>
      <c r="BJ116" s="179"/>
      <c r="BK116" s="179"/>
      <c r="BL116" s="179"/>
      <c r="BM116" s="179"/>
      <c r="BN116" s="179"/>
      <c r="BO116" s="179"/>
      <c r="BP116" s="179"/>
      <c r="BQ116" s="179"/>
      <c r="BR116" s="179"/>
      <c r="BS116" s="180"/>
    </row>
    <row r="117" spans="1:71" x14ac:dyDescent="0.2">
      <c r="A117" s="196"/>
      <c r="B117" s="181"/>
      <c r="C117" s="182"/>
      <c r="D117" s="182"/>
      <c r="E117" s="182"/>
      <c r="F117" s="182"/>
      <c r="G117" s="182"/>
      <c r="H117" s="182"/>
      <c r="I117" s="182"/>
      <c r="J117" s="182"/>
      <c r="K117" s="182"/>
      <c r="L117" s="182"/>
      <c r="M117" s="182"/>
      <c r="N117" s="182"/>
      <c r="O117" s="183"/>
      <c r="P117" s="181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2"/>
      <c r="AC117" s="183"/>
      <c r="AD117" s="181"/>
      <c r="AE117" s="182"/>
      <c r="AF117" s="182"/>
      <c r="AG117" s="182"/>
      <c r="AH117" s="182"/>
      <c r="AI117" s="182"/>
      <c r="AJ117" s="182"/>
      <c r="AK117" s="182"/>
      <c r="AL117" s="182"/>
      <c r="AM117" s="182"/>
      <c r="AN117" s="182"/>
      <c r="AO117" s="182"/>
      <c r="AP117" s="182"/>
      <c r="AQ117" s="183"/>
      <c r="AR117" s="181"/>
      <c r="AS117" s="182"/>
      <c r="AT117" s="182"/>
      <c r="AU117" s="182"/>
      <c r="AV117" s="182"/>
      <c r="AW117" s="182"/>
      <c r="AX117" s="182"/>
      <c r="AY117" s="182"/>
      <c r="AZ117" s="182"/>
      <c r="BA117" s="182"/>
      <c r="BB117" s="182"/>
      <c r="BC117" s="182"/>
      <c r="BD117" s="182"/>
      <c r="BE117" s="183"/>
      <c r="BF117" s="181"/>
      <c r="BG117" s="182"/>
      <c r="BH117" s="182"/>
      <c r="BI117" s="182"/>
      <c r="BJ117" s="182"/>
      <c r="BK117" s="182"/>
      <c r="BL117" s="182"/>
      <c r="BM117" s="182"/>
      <c r="BN117" s="182"/>
      <c r="BO117" s="182"/>
      <c r="BP117" s="182"/>
      <c r="BQ117" s="182"/>
      <c r="BR117" s="182"/>
      <c r="BS117" s="183"/>
    </row>
    <row r="118" spans="1:71" x14ac:dyDescent="0.2">
      <c r="A118" s="196"/>
      <c r="B118" s="181"/>
      <c r="C118" s="182"/>
      <c r="D118" s="182"/>
      <c r="E118" s="182"/>
      <c r="F118" s="182"/>
      <c r="G118" s="182"/>
      <c r="H118" s="182"/>
      <c r="I118" s="182"/>
      <c r="J118" s="182"/>
      <c r="K118" s="182"/>
      <c r="L118" s="182"/>
      <c r="M118" s="182"/>
      <c r="N118" s="182"/>
      <c r="O118" s="183"/>
      <c r="P118" s="181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2"/>
      <c r="AC118" s="183"/>
      <c r="AD118" s="181"/>
      <c r="AE118" s="182"/>
      <c r="AF118" s="182"/>
      <c r="AG118" s="182"/>
      <c r="AH118" s="182"/>
      <c r="AI118" s="182"/>
      <c r="AJ118" s="182"/>
      <c r="AK118" s="182"/>
      <c r="AL118" s="182"/>
      <c r="AM118" s="182"/>
      <c r="AN118" s="182"/>
      <c r="AO118" s="182"/>
      <c r="AP118" s="182"/>
      <c r="AQ118" s="183"/>
      <c r="AR118" s="181"/>
      <c r="AS118" s="182"/>
      <c r="AT118" s="182"/>
      <c r="AU118" s="182"/>
      <c r="AV118" s="182"/>
      <c r="AW118" s="182"/>
      <c r="AX118" s="182"/>
      <c r="AY118" s="182"/>
      <c r="AZ118" s="182"/>
      <c r="BA118" s="182"/>
      <c r="BB118" s="182"/>
      <c r="BC118" s="182"/>
      <c r="BD118" s="182"/>
      <c r="BE118" s="183"/>
      <c r="BF118" s="181"/>
      <c r="BG118" s="182"/>
      <c r="BH118" s="182"/>
      <c r="BI118" s="182"/>
      <c r="BJ118" s="182"/>
      <c r="BK118" s="182"/>
      <c r="BL118" s="182"/>
      <c r="BM118" s="182"/>
      <c r="BN118" s="182"/>
      <c r="BO118" s="182"/>
      <c r="BP118" s="182"/>
      <c r="BQ118" s="182"/>
      <c r="BR118" s="182"/>
      <c r="BS118" s="183"/>
    </row>
    <row r="119" spans="1:71" x14ac:dyDescent="0.2">
      <c r="A119" s="196"/>
      <c r="B119" s="181"/>
      <c r="C119" s="182"/>
      <c r="D119" s="182"/>
      <c r="E119" s="182"/>
      <c r="F119" s="182"/>
      <c r="G119" s="182"/>
      <c r="H119" s="182"/>
      <c r="I119" s="182"/>
      <c r="J119" s="182"/>
      <c r="K119" s="182"/>
      <c r="L119" s="182"/>
      <c r="M119" s="182"/>
      <c r="N119" s="182"/>
      <c r="O119" s="183"/>
      <c r="P119" s="181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2"/>
      <c r="AC119" s="183"/>
      <c r="AD119" s="181"/>
      <c r="AE119" s="182"/>
      <c r="AF119" s="182"/>
      <c r="AG119" s="182"/>
      <c r="AH119" s="182"/>
      <c r="AI119" s="182"/>
      <c r="AJ119" s="182"/>
      <c r="AK119" s="182"/>
      <c r="AL119" s="182"/>
      <c r="AM119" s="182"/>
      <c r="AN119" s="182"/>
      <c r="AO119" s="182"/>
      <c r="AP119" s="182"/>
      <c r="AQ119" s="183"/>
      <c r="AR119" s="181"/>
      <c r="AS119" s="182"/>
      <c r="AT119" s="182"/>
      <c r="AU119" s="182"/>
      <c r="AV119" s="182"/>
      <c r="AW119" s="182"/>
      <c r="AX119" s="182"/>
      <c r="AY119" s="182"/>
      <c r="AZ119" s="182"/>
      <c r="BA119" s="182"/>
      <c r="BB119" s="182"/>
      <c r="BC119" s="182"/>
      <c r="BD119" s="182"/>
      <c r="BE119" s="183"/>
      <c r="BF119" s="181"/>
      <c r="BG119" s="182"/>
      <c r="BH119" s="182"/>
      <c r="BI119" s="182"/>
      <c r="BJ119" s="182"/>
      <c r="BK119" s="182"/>
      <c r="BL119" s="182"/>
      <c r="BM119" s="182"/>
      <c r="BN119" s="182"/>
      <c r="BO119" s="182"/>
      <c r="BP119" s="182"/>
      <c r="BQ119" s="182"/>
      <c r="BR119" s="182"/>
      <c r="BS119" s="183"/>
    </row>
    <row r="120" spans="1:71" x14ac:dyDescent="0.2">
      <c r="A120" s="196"/>
      <c r="B120" s="181"/>
      <c r="C120" s="182"/>
      <c r="D120" s="182"/>
      <c r="E120" s="182"/>
      <c r="F120" s="182"/>
      <c r="G120" s="182"/>
      <c r="H120" s="182"/>
      <c r="I120" s="182"/>
      <c r="J120" s="182"/>
      <c r="K120" s="182"/>
      <c r="L120" s="182"/>
      <c r="M120" s="182"/>
      <c r="N120" s="182"/>
      <c r="O120" s="183"/>
      <c r="P120" s="181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2"/>
      <c r="AC120" s="183"/>
      <c r="AD120" s="181"/>
      <c r="AE120" s="182"/>
      <c r="AF120" s="182"/>
      <c r="AG120" s="182"/>
      <c r="AH120" s="182"/>
      <c r="AI120" s="182"/>
      <c r="AJ120" s="182"/>
      <c r="AK120" s="182"/>
      <c r="AL120" s="182"/>
      <c r="AM120" s="182"/>
      <c r="AN120" s="182"/>
      <c r="AO120" s="182"/>
      <c r="AP120" s="182"/>
      <c r="AQ120" s="183"/>
      <c r="AR120" s="181"/>
      <c r="AS120" s="182"/>
      <c r="AT120" s="182"/>
      <c r="AU120" s="182"/>
      <c r="AV120" s="182"/>
      <c r="AW120" s="182"/>
      <c r="AX120" s="182"/>
      <c r="AY120" s="182"/>
      <c r="AZ120" s="182"/>
      <c r="BA120" s="182"/>
      <c r="BB120" s="182"/>
      <c r="BC120" s="182"/>
      <c r="BD120" s="182"/>
      <c r="BE120" s="183"/>
      <c r="BF120" s="181"/>
      <c r="BG120" s="182"/>
      <c r="BH120" s="182"/>
      <c r="BI120" s="182"/>
      <c r="BJ120" s="182"/>
      <c r="BK120" s="182"/>
      <c r="BL120" s="182"/>
      <c r="BM120" s="182"/>
      <c r="BN120" s="182"/>
      <c r="BO120" s="182"/>
      <c r="BP120" s="182"/>
      <c r="BQ120" s="182"/>
      <c r="BR120" s="182"/>
      <c r="BS120" s="183"/>
    </row>
    <row r="121" spans="1:71" x14ac:dyDescent="0.2">
      <c r="A121" s="196"/>
      <c r="B121" s="181"/>
      <c r="C121" s="182"/>
      <c r="D121" s="182"/>
      <c r="E121" s="182"/>
      <c r="F121" s="182"/>
      <c r="G121" s="182"/>
      <c r="H121" s="182"/>
      <c r="I121" s="182"/>
      <c r="J121" s="182"/>
      <c r="K121" s="182"/>
      <c r="L121" s="182"/>
      <c r="M121" s="182"/>
      <c r="N121" s="182"/>
      <c r="O121" s="183"/>
      <c r="P121" s="181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2"/>
      <c r="AC121" s="183"/>
      <c r="AD121" s="181"/>
      <c r="AE121" s="182"/>
      <c r="AF121" s="182"/>
      <c r="AG121" s="182"/>
      <c r="AH121" s="182"/>
      <c r="AI121" s="182"/>
      <c r="AJ121" s="182"/>
      <c r="AK121" s="182"/>
      <c r="AL121" s="182"/>
      <c r="AM121" s="182"/>
      <c r="AN121" s="182"/>
      <c r="AO121" s="182"/>
      <c r="AP121" s="182"/>
      <c r="AQ121" s="183"/>
      <c r="AR121" s="181"/>
      <c r="AS121" s="182"/>
      <c r="AT121" s="182"/>
      <c r="AU121" s="182"/>
      <c r="AV121" s="182"/>
      <c r="AW121" s="182"/>
      <c r="AX121" s="182"/>
      <c r="AY121" s="182"/>
      <c r="AZ121" s="182"/>
      <c r="BA121" s="182"/>
      <c r="BB121" s="182"/>
      <c r="BC121" s="182"/>
      <c r="BD121" s="182"/>
      <c r="BE121" s="183"/>
      <c r="BF121" s="181"/>
      <c r="BG121" s="182"/>
      <c r="BH121" s="182"/>
      <c r="BI121" s="182"/>
      <c r="BJ121" s="182"/>
      <c r="BK121" s="182"/>
      <c r="BL121" s="182"/>
      <c r="BM121" s="182"/>
      <c r="BN121" s="182"/>
      <c r="BO121" s="182"/>
      <c r="BP121" s="182"/>
      <c r="BQ121" s="182"/>
      <c r="BR121" s="182"/>
      <c r="BS121" s="183"/>
    </row>
    <row r="122" spans="1:71" ht="13.5" customHeight="1" thickBot="1" x14ac:dyDescent="0.25">
      <c r="A122" s="197"/>
      <c r="B122" s="184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6"/>
      <c r="P122" s="184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6"/>
      <c r="AD122" s="184"/>
      <c r="AE122" s="185"/>
      <c r="AF122" s="185"/>
      <c r="AG122" s="185"/>
      <c r="AH122" s="185"/>
      <c r="AI122" s="185"/>
      <c r="AJ122" s="185"/>
      <c r="AK122" s="185"/>
      <c r="AL122" s="185"/>
      <c r="AM122" s="185"/>
      <c r="AN122" s="185"/>
      <c r="AO122" s="185"/>
      <c r="AP122" s="185"/>
      <c r="AQ122" s="186"/>
      <c r="AR122" s="184"/>
      <c r="AS122" s="185"/>
      <c r="AT122" s="185"/>
      <c r="AU122" s="185"/>
      <c r="AV122" s="185"/>
      <c r="AW122" s="185"/>
      <c r="AX122" s="185"/>
      <c r="AY122" s="185"/>
      <c r="AZ122" s="185"/>
      <c r="BA122" s="185"/>
      <c r="BB122" s="185"/>
      <c r="BC122" s="185"/>
      <c r="BD122" s="185"/>
      <c r="BE122" s="186"/>
      <c r="BF122" s="184"/>
      <c r="BG122" s="185"/>
      <c r="BH122" s="185"/>
      <c r="BI122" s="185"/>
      <c r="BJ122" s="185"/>
      <c r="BK122" s="185"/>
      <c r="BL122" s="185"/>
      <c r="BM122" s="185"/>
      <c r="BN122" s="185"/>
      <c r="BO122" s="185"/>
      <c r="BP122" s="185"/>
      <c r="BQ122" s="185"/>
      <c r="BR122" s="185"/>
      <c r="BS122" s="186"/>
    </row>
  </sheetData>
  <mergeCells count="131"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N4:O4"/>
    <mergeCell ref="AV4:AW4"/>
    <mergeCell ref="F4:G4"/>
    <mergeCell ref="P4:Q4"/>
    <mergeCell ref="AX4:AY4"/>
    <mergeCell ref="BH4:BI4"/>
    <mergeCell ref="BJ4:BK4"/>
    <mergeCell ref="AF4:AG4"/>
    <mergeCell ref="BP4:BQ4"/>
    <mergeCell ref="AH4:AI4"/>
    <mergeCell ref="BD5:BE5"/>
    <mergeCell ref="N5:O5"/>
    <mergeCell ref="P2:AC2"/>
    <mergeCell ref="P115:AC115"/>
    <mergeCell ref="BN5:BO5"/>
    <mergeCell ref="BP5:BQ5"/>
    <mergeCell ref="AZ4:BA4"/>
    <mergeCell ref="J4:K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Z114:AA114"/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L5:M5"/>
    <mergeCell ref="AT5:AU5"/>
    <mergeCell ref="D4:E4"/>
    <mergeCell ref="B1:E2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KW 30-34</vt:lpstr>
      <vt:lpstr>KW 21-25</vt:lpstr>
      <vt:lpstr>KW 22-26</vt:lpstr>
      <vt:lpstr>'KW 21-25'!Druckbereich</vt:lpstr>
      <vt:lpstr>'KW 22-26'!Druckbereich</vt:lpstr>
      <vt:lpstr>'KW 30-34'!Druckbereich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2026-07-21T09:11:02Z</cp:lastPrinted>
  <dcterms:created xsi:type="dcterms:W3CDTF">2021-03-21T13:44:19Z</dcterms:created>
  <dcterms:modified xsi:type="dcterms:W3CDTF">2026-07-23T08:27:45Z</dcterms:modified>
</cp:coreProperties>
</file>