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720" yWindow="765" windowWidth="18945" windowHeight="9945" tabRatio="600" firstSheet="0" activeTab="0" autoFilterDateGrouping="1"/>
  </bookViews>
  <sheets>
    <sheet xmlns:r="http://schemas.openxmlformats.org/officeDocument/2006/relationships" name="KW 30-34" sheetId="1" state="visible" r:id="rId1"/>
    <sheet xmlns:r="http://schemas.openxmlformats.org/officeDocument/2006/relationships" name="KW 21-25" sheetId="2" state="visible" r:id="rId2"/>
    <sheet xmlns:r="http://schemas.openxmlformats.org/officeDocument/2006/relationships" name="KW 22-26" sheetId="3" state="visible" r:id="rId3"/>
  </sheets>
  <definedNames>
    <definedName name="_xlnm.Print_Area" localSheetId="0">'KW 30-34'!$A$1:$CF$124</definedName>
    <definedName name="_xlnm.Print_Area" localSheetId="1">'KW 21-25'!$A$1:$CC$130</definedName>
    <definedName name="_xlnm.Print_Area" localSheetId="2">'KW 22-26'!$A$1:$CC$122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"/>
    <numFmt numFmtId="165" formatCode="dd\.mm\.yyyy"/>
  </numFmts>
  <fonts count="15"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b val="1"/>
      <color theme="1"/>
      <sz val="10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sz val="10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i val="1"/>
      <color theme="1"/>
      <sz val="9"/>
    </font>
    <font>
      <name val="Arial"/>
      <family val="2"/>
      <color rgb="FFFF0000"/>
      <sz val="10"/>
    </font>
    <font>
      <name val="Arial"/>
      <family val="2"/>
      <color rgb="FFFF0000"/>
      <sz val="9"/>
    </font>
    <font>
      <name val="Arial"/>
      <family val="2"/>
      <b val="1"/>
      <color rgb="FFFF0000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42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92D05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00B88C00"/>
      </patternFill>
    </fill>
    <fill>
      <patternFill patternType="solid">
        <fgColor rgb="0092D050"/>
      </patternFill>
    </fill>
  </fills>
  <borders count="6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0" fillId="2" borderId="22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16" applyAlignment="1" pivotButton="0" quotePrefix="0" xfId="0">
      <alignment horizontal="center"/>
    </xf>
    <xf numFmtId="0" fontId="3" fillId="3" borderId="18" applyAlignment="1" pivotButton="0" quotePrefix="0" xfId="0">
      <alignment horizontal="right"/>
    </xf>
    <xf numFmtId="0" fontId="3" fillId="3" borderId="14" applyAlignment="1" pivotButton="0" quotePrefix="0" xfId="0">
      <alignment horizontal="right"/>
    </xf>
    <xf numFmtId="0" fontId="3" fillId="3" borderId="14" applyAlignment="1" pivotButton="0" quotePrefix="0" xfId="0">
      <alignment horizontal="left"/>
    </xf>
    <xf numFmtId="0" fontId="3" fillId="3" borderId="18" pivotButton="0" quotePrefix="0" xfId="0"/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2" borderId="31" applyAlignment="1" pivotButton="0" quotePrefix="0" xfId="0">
      <alignment horizontal="center"/>
    </xf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6" fillId="0" borderId="35" applyProtection="1" pivotButton="0" quotePrefix="0" xfId="0">
      <protection locked="0" hidden="0"/>
    </xf>
    <xf numFmtId="0" fontId="2" fillId="2" borderId="36" pivotButton="0" quotePrefix="0" xfId="0"/>
    <xf numFmtId="0" fontId="2" fillId="2" borderId="37" applyAlignment="1" pivotButton="0" quotePrefix="0" xfId="0">
      <alignment horizontal="left"/>
    </xf>
    <xf numFmtId="0" fontId="7" fillId="0" borderId="35" applyProtection="1" pivotButton="0" quotePrefix="0" xfId="0">
      <protection locked="0" hidden="0"/>
    </xf>
    <xf numFmtId="0" fontId="0" fillId="5" borderId="26" applyProtection="1" pivotButton="0" quotePrefix="0" xfId="0">
      <protection locked="0" hidden="0"/>
    </xf>
    <xf numFmtId="0" fontId="0" fillId="5" borderId="6" applyProtection="1" pivotButton="0" quotePrefix="0" xfId="0">
      <protection locked="0" hidden="0"/>
    </xf>
    <xf numFmtId="0" fontId="0" fillId="6" borderId="26" applyProtection="1" pivotButton="0" quotePrefix="0" xfId="0">
      <protection locked="0" hidden="0"/>
    </xf>
    <xf numFmtId="0" fontId="0" fillId="6" borderId="6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0" fillId="7" borderId="6" applyProtection="1" pivotButton="0" quotePrefix="0" xfId="0">
      <protection locked="0" hidden="0"/>
    </xf>
    <xf numFmtId="0" fontId="0" fillId="7" borderId="8" applyProtection="1" pivotButton="0" quotePrefix="0" xfId="0">
      <protection locked="0" hidden="0"/>
    </xf>
    <xf numFmtId="0" fontId="0" fillId="7" borderId="12" applyProtection="1" pivotButton="0" quotePrefix="0" xfId="0">
      <protection locked="0" hidden="0"/>
    </xf>
    <xf numFmtId="0" fontId="0" fillId="7" borderId="11" applyProtection="1" pivotButton="0" quotePrefix="0" xfId="0">
      <protection locked="0" hidden="0"/>
    </xf>
    <xf numFmtId="0" fontId="0" fillId="7" borderId="13" applyProtection="1" pivotButton="0" quotePrefix="0" xfId="0">
      <protection locked="0" hidden="0"/>
    </xf>
    <xf numFmtId="0" fontId="0" fillId="5" borderId="4" applyProtection="1" pivotButton="0" quotePrefix="0" xfId="0">
      <protection locked="0" hidden="0"/>
    </xf>
    <xf numFmtId="0" fontId="0" fillId="8" borderId="4" applyProtection="1" pivotButton="0" quotePrefix="0" xfId="0">
      <protection locked="0" hidden="0"/>
    </xf>
    <xf numFmtId="0" fontId="0" fillId="8" borderId="6" applyProtection="1" pivotButton="0" quotePrefix="0" xfId="0">
      <protection locked="0" hidden="0"/>
    </xf>
    <xf numFmtId="0" fontId="0" fillId="8" borderId="26" applyProtection="1" pivotButton="0" quotePrefix="0" xfId="0">
      <protection locked="0" hidden="0"/>
    </xf>
    <xf numFmtId="0" fontId="0" fillId="7" borderId="39" applyProtection="1" pivotButton="0" quotePrefix="0" xfId="0">
      <protection locked="0" hidden="0"/>
    </xf>
    <xf numFmtId="0" fontId="0" fillId="7" borderId="40" applyProtection="1" pivotButton="0" quotePrefix="0" xfId="0">
      <protection locked="0" hidden="0"/>
    </xf>
    <xf numFmtId="0" fontId="0" fillId="7" borderId="41" applyProtection="1" pivotButton="0" quotePrefix="0" xfId="0">
      <protection locked="0" hidden="0"/>
    </xf>
    <xf numFmtId="0" fontId="6" fillId="0" borderId="35" applyAlignment="1" applyProtection="1" pivotButton="0" quotePrefix="0" xfId="0">
      <alignment horizontal="left"/>
      <protection locked="0" hidden="0"/>
    </xf>
    <xf numFmtId="0" fontId="8" fillId="0" borderId="35" applyProtection="1" pivotButton="0" quotePrefix="0" xfId="0">
      <protection locked="0" hidden="0"/>
    </xf>
    <xf numFmtId="0" fontId="2" fillId="7" borderId="39" applyAlignment="1" applyProtection="1" pivotButton="0" quotePrefix="0" xfId="0">
      <alignment horizontal="center"/>
      <protection locked="0" hidden="0"/>
    </xf>
    <xf numFmtId="0" fontId="2" fillId="7" borderId="40" applyAlignment="1" applyProtection="1" pivotButton="0" quotePrefix="0" xfId="0">
      <alignment horizontal="center"/>
      <protection locked="0" hidden="0"/>
    </xf>
    <xf numFmtId="0" fontId="2" fillId="7" borderId="41" applyAlignment="1" applyProtection="1" pivotButton="0" quotePrefix="0" xfId="0">
      <alignment horizontal="center"/>
      <protection locked="0" hidden="0"/>
    </xf>
    <xf numFmtId="0" fontId="0" fillId="12" borderId="26" applyProtection="1" pivotButton="0" quotePrefix="0" xfId="0">
      <protection locked="0" hidden="0"/>
    </xf>
    <xf numFmtId="0" fontId="0" fillId="12" borderId="6" applyProtection="1" pivotButton="0" quotePrefix="0" xfId="0">
      <protection locked="0" hidden="0"/>
    </xf>
    <xf numFmtId="0" fontId="0" fillId="10" borderId="26" applyProtection="1" pivotButton="0" quotePrefix="0" xfId="0">
      <protection locked="0" hidden="0"/>
    </xf>
    <xf numFmtId="0" fontId="0" fillId="10" borderId="6" applyProtection="1" pivotButton="0" quotePrefix="0" xfId="0">
      <protection locked="0" hidden="0"/>
    </xf>
    <xf numFmtId="0" fontId="6" fillId="0" borderId="35" applyAlignment="1" applyProtection="1" pivotButton="0" quotePrefix="0" xfId="0">
      <alignment wrapText="1"/>
      <protection locked="0" hidden="0"/>
    </xf>
    <xf numFmtId="0" fontId="0" fillId="11" borderId="4" applyProtection="1" pivotButton="0" quotePrefix="0" xfId="0">
      <protection locked="0" hidden="0"/>
    </xf>
    <xf numFmtId="0" fontId="0" fillId="11" borderId="6" applyProtection="1" pivotButton="0" quotePrefix="0" xfId="0">
      <protection locked="0" hidden="0"/>
    </xf>
    <xf numFmtId="0" fontId="0" fillId="11" borderId="26" applyProtection="1" pivotButton="0" quotePrefix="0" xfId="0">
      <protection locked="0" hidden="0"/>
    </xf>
    <xf numFmtId="0" fontId="2" fillId="8" borderId="26" applyProtection="1" pivotButton="0" quotePrefix="0" xfId="0">
      <protection locked="0" hidden="0"/>
    </xf>
    <xf numFmtId="0" fontId="0" fillId="10" borderId="4" applyProtection="1" pivotButton="0" quotePrefix="0" xfId="0">
      <protection locked="0" hidden="0"/>
    </xf>
    <xf numFmtId="0" fontId="0" fillId="9" borderId="6" applyProtection="1" pivotButton="0" quotePrefix="0" xfId="0">
      <protection locked="0" hidden="0"/>
    </xf>
    <xf numFmtId="0" fontId="0" fillId="6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13" borderId="6" applyProtection="1" pivotButton="0" quotePrefix="0" xfId="0">
      <protection locked="0" hidden="0"/>
    </xf>
    <xf numFmtId="0" fontId="0" fillId="13" borderId="4" applyProtection="1" pivotButton="0" quotePrefix="0" xfId="0">
      <protection locked="0" hidden="0"/>
    </xf>
    <xf numFmtId="0" fontId="0" fillId="9" borderId="4" applyProtection="1" pivotButton="0" quotePrefix="0" xfId="0">
      <protection locked="0" hidden="0"/>
    </xf>
    <xf numFmtId="0" fontId="0" fillId="12" borderId="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14" borderId="4" applyProtection="1" pivotButton="0" quotePrefix="0" xfId="0">
      <protection locked="0" hidden="0"/>
    </xf>
    <xf numFmtId="0" fontId="0" fillId="14" borderId="6" applyProtection="1" pivotButton="0" quotePrefix="0" xfId="0">
      <protection locked="0" hidden="0"/>
    </xf>
    <xf numFmtId="0" fontId="0" fillId="15" borderId="4" applyProtection="1" pivotButton="0" quotePrefix="0" xfId="0">
      <protection locked="0" hidden="0"/>
    </xf>
    <xf numFmtId="0" fontId="0" fillId="15" borderId="6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7" fillId="16" borderId="35" applyProtection="1" pivotButton="0" quotePrefix="0" xfId="0">
      <protection locked="0" hidden="0"/>
    </xf>
    <xf numFmtId="0" fontId="6" fillId="16" borderId="35" applyProtection="1" pivotButton="0" quotePrefix="0" xfId="0">
      <protection locked="0" hidden="0"/>
    </xf>
    <xf numFmtId="0" fontId="6" fillId="16" borderId="33" applyProtection="1" pivotButton="0" quotePrefix="0" xfId="0">
      <protection locked="0" hidden="0"/>
    </xf>
    <xf numFmtId="0" fontId="7" fillId="16" borderId="33" applyProtection="1" pivotButton="0" quotePrefix="0" xfId="0">
      <protection locked="0" hidden="0"/>
    </xf>
    <xf numFmtId="0" fontId="6" fillId="16" borderId="35" applyAlignment="1" applyProtection="1" pivotButton="0" quotePrefix="0" xfId="0">
      <alignment horizontal="left" indent="1"/>
      <protection locked="0" hidden="0"/>
    </xf>
    <xf numFmtId="0" fontId="0" fillId="13" borderId="26" applyProtection="1" pivotButton="0" quotePrefix="0" xfId="0">
      <protection locked="0" hidden="0"/>
    </xf>
    <xf numFmtId="0" fontId="10" fillId="0" borderId="35" applyAlignment="1" applyProtection="1" pivotButton="0" quotePrefix="0" xfId="0">
      <alignment horizontal="left"/>
      <protection locked="0" hidden="0"/>
    </xf>
    <xf numFmtId="0" fontId="0" fillId="5" borderId="42" applyProtection="1" pivotButton="0" quotePrefix="0" xfId="0">
      <protection locked="0" hidden="0"/>
    </xf>
    <xf numFmtId="0" fontId="0" fillId="17" borderId="4" applyProtection="1" pivotButton="0" quotePrefix="0" xfId="0">
      <protection locked="0" hidden="0"/>
    </xf>
    <xf numFmtId="0" fontId="0" fillId="17" borderId="6" applyProtection="1" pivotButton="0" quotePrefix="0" xfId="0">
      <protection locked="0" hidden="0"/>
    </xf>
    <xf numFmtId="0" fontId="9" fillId="2" borderId="33" pivotButton="0" quotePrefix="0" xfId="0"/>
    <xf numFmtId="0" fontId="0" fillId="17" borderId="26" applyProtection="1" pivotButton="0" quotePrefix="0" xfId="0">
      <protection locked="0" hidden="0"/>
    </xf>
    <xf numFmtId="0" fontId="2" fillId="13" borderId="4" applyAlignment="1" applyProtection="1" pivotButton="0" quotePrefix="0" xfId="0">
      <alignment horizontal="center"/>
      <protection locked="0" hidden="0"/>
    </xf>
    <xf numFmtId="0" fontId="11" fillId="16" borderId="35" applyProtection="1" pivotButton="0" quotePrefix="0" xfId="0">
      <protection locked="0" hidden="0"/>
    </xf>
    <xf numFmtId="0" fontId="0" fillId="18" borderId="26" applyProtection="1" pivotButton="0" quotePrefix="0" xfId="0">
      <protection locked="0" hidden="0"/>
    </xf>
    <xf numFmtId="0" fontId="0" fillId="18" borderId="6" applyProtection="1" pivotButton="0" quotePrefix="0" xfId="0">
      <protection locked="0" hidden="0"/>
    </xf>
    <xf numFmtId="0" fontId="0" fillId="18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center"/>
      <protection locked="0" hidden="0"/>
    </xf>
    <xf numFmtId="0" fontId="0" fillId="19" borderId="26" applyProtection="1" pivotButton="0" quotePrefix="0" xfId="0">
      <protection locked="0" hidden="0"/>
    </xf>
    <xf numFmtId="0" fontId="0" fillId="19" borderId="6" applyProtection="1" pivotButton="0" quotePrefix="0" xfId="0">
      <protection locked="0" hidden="0"/>
    </xf>
    <xf numFmtId="0" fontId="0" fillId="19" borderId="4" applyProtection="1" pivotButton="0" quotePrefix="0" xfId="0">
      <protection locked="0" hidden="0"/>
    </xf>
    <xf numFmtId="0" fontId="0" fillId="20" borderId="26" applyProtection="1" pivotButton="0" quotePrefix="0" xfId="0">
      <protection locked="0" hidden="0"/>
    </xf>
    <xf numFmtId="0" fontId="0" fillId="20" borderId="6" applyProtection="1" pivotButton="0" quotePrefix="0" xfId="0">
      <protection locked="0" hidden="0"/>
    </xf>
    <xf numFmtId="0" fontId="0" fillId="20" borderId="4" applyProtection="1" pivotButton="0" quotePrefix="0" xfId="0">
      <protection locked="0" hidden="0"/>
    </xf>
    <xf numFmtId="0" fontId="0" fillId="21" borderId="6" applyProtection="1" pivotButton="0" quotePrefix="0" xfId="0">
      <protection locked="0" hidden="0"/>
    </xf>
    <xf numFmtId="0" fontId="0" fillId="21" borderId="4" applyProtection="1" pivotButton="0" quotePrefix="0" xfId="0">
      <protection locked="0" hidden="0"/>
    </xf>
    <xf numFmtId="0" fontId="0" fillId="22" borderId="26" applyProtection="1" pivotButton="0" quotePrefix="0" xfId="0">
      <protection locked="0" hidden="0"/>
    </xf>
    <xf numFmtId="0" fontId="0" fillId="22" borderId="6" applyProtection="1" pivotButton="0" quotePrefix="0" xfId="0">
      <protection locked="0" hidden="0"/>
    </xf>
    <xf numFmtId="0" fontId="0" fillId="22" borderId="4" applyProtection="1" pivotButton="0" quotePrefix="0" xfId="0">
      <protection locked="0" hidden="0"/>
    </xf>
    <xf numFmtId="0" fontId="0" fillId="23" borderId="26" applyProtection="1" pivotButton="0" quotePrefix="0" xfId="0">
      <protection locked="0" hidden="0"/>
    </xf>
    <xf numFmtId="0" fontId="0" fillId="23" borderId="6" applyProtection="1" pivotButton="0" quotePrefix="0" xfId="0">
      <protection locked="0" hidden="0"/>
    </xf>
    <xf numFmtId="0" fontId="0" fillId="23" borderId="4" applyProtection="1" pivotButton="0" quotePrefix="0" xfId="0">
      <protection locked="0" hidden="0"/>
    </xf>
    <xf numFmtId="0" fontId="0" fillId="24" borderId="26" applyProtection="1" pivotButton="0" quotePrefix="0" xfId="0">
      <protection locked="0" hidden="0"/>
    </xf>
    <xf numFmtId="0" fontId="0" fillId="24" borderId="6" applyProtection="1" pivotButton="0" quotePrefix="0" xfId="0">
      <protection locked="0" hidden="0"/>
    </xf>
    <xf numFmtId="0" fontId="0" fillId="24" borderId="4" applyProtection="1" pivotButton="0" quotePrefix="0" xfId="0">
      <protection locked="0" hidden="0"/>
    </xf>
    <xf numFmtId="0" fontId="0" fillId="25" borderId="26" applyProtection="1" pivotButton="0" quotePrefix="0" xfId="0">
      <protection locked="0" hidden="0"/>
    </xf>
    <xf numFmtId="0" fontId="0" fillId="25" borderId="6" applyProtection="1" pivotButton="0" quotePrefix="0" xfId="0">
      <protection locked="0" hidden="0"/>
    </xf>
    <xf numFmtId="0" fontId="0" fillId="25" borderId="4" applyProtection="1" pivotButton="0" quotePrefix="0" xfId="0">
      <protection locked="0" hidden="0"/>
    </xf>
    <xf numFmtId="0" fontId="0" fillId="26" borderId="26" applyProtection="1" pivotButton="0" quotePrefix="0" xfId="0">
      <protection locked="0" hidden="0"/>
    </xf>
    <xf numFmtId="0" fontId="0" fillId="26" borderId="6" applyProtection="1" pivotButton="0" quotePrefix="0" xfId="0">
      <protection locked="0" hidden="0"/>
    </xf>
    <xf numFmtId="0" fontId="0" fillId="26" borderId="4" applyProtection="1" pivotButton="0" quotePrefix="0" xfId="0">
      <protection locked="0" hidden="0"/>
    </xf>
    <xf numFmtId="0" fontId="0" fillId="27" borderId="26" applyProtection="1" pivotButton="0" quotePrefix="0" xfId="0">
      <protection locked="0" hidden="0"/>
    </xf>
    <xf numFmtId="0" fontId="0" fillId="27" borderId="6" applyProtection="1" pivotButton="0" quotePrefix="0" xfId="0">
      <protection locked="0" hidden="0"/>
    </xf>
    <xf numFmtId="0" fontId="0" fillId="27" borderId="4" applyProtection="1" pivotButton="0" quotePrefix="0" xfId="0">
      <protection locked="0" hidden="0"/>
    </xf>
    <xf numFmtId="0" fontId="0" fillId="28" borderId="26" applyProtection="1" pivotButton="0" quotePrefix="0" xfId="0">
      <protection locked="0" hidden="0"/>
    </xf>
    <xf numFmtId="0" fontId="0" fillId="28" borderId="6" applyProtection="1" pivotButton="0" quotePrefix="0" xfId="0">
      <protection locked="0" hidden="0"/>
    </xf>
    <xf numFmtId="0" fontId="0" fillId="28" borderId="4" applyProtection="1" pivotButton="0" quotePrefix="0" xfId="0">
      <protection locked="0" hidden="0"/>
    </xf>
    <xf numFmtId="0" fontId="0" fillId="29" borderId="26" applyProtection="1" pivotButton="0" quotePrefix="0" xfId="0">
      <protection locked="0" hidden="0"/>
    </xf>
    <xf numFmtId="0" fontId="0" fillId="29" borderId="6" applyProtection="1" pivotButton="0" quotePrefix="0" xfId="0">
      <protection locked="0" hidden="0"/>
    </xf>
    <xf numFmtId="0" fontId="0" fillId="29" borderId="4" applyProtection="1" pivotButton="0" quotePrefix="0" xfId="0">
      <protection locked="0" hidden="0"/>
    </xf>
    <xf numFmtId="0" fontId="13" fillId="0" borderId="35" applyProtection="1" pivotButton="0" quotePrefix="0" xfId="0">
      <protection locked="0" hidden="0"/>
    </xf>
    <xf numFmtId="0" fontId="0" fillId="30" borderId="26" applyProtection="1" pivotButton="0" quotePrefix="0" xfId="0">
      <protection locked="0" hidden="0"/>
    </xf>
    <xf numFmtId="0" fontId="0" fillId="30" borderId="6" applyProtection="1" pivotButton="0" quotePrefix="0" xfId="0">
      <protection locked="0" hidden="0"/>
    </xf>
    <xf numFmtId="0" fontId="0" fillId="30" borderId="4" applyProtection="1" pivotButton="0" quotePrefix="0" xfId="0">
      <protection locked="0" hidden="0"/>
    </xf>
    <xf numFmtId="0" fontId="0" fillId="31" borderId="26" applyProtection="1" pivotButton="0" quotePrefix="0" xfId="0">
      <protection locked="0" hidden="0"/>
    </xf>
    <xf numFmtId="0" fontId="0" fillId="31" borderId="6" applyProtection="1" pivotButton="0" quotePrefix="0" xfId="0">
      <protection locked="0" hidden="0"/>
    </xf>
    <xf numFmtId="0" fontId="0" fillId="31" borderId="4" applyProtection="1" pivotButton="0" quotePrefix="0" xfId="0">
      <protection locked="0" hidden="0"/>
    </xf>
    <xf numFmtId="0" fontId="12" fillId="0" borderId="35" applyProtection="1" pivotButton="0" quotePrefix="0" xfId="0">
      <protection locked="0" hidden="0"/>
    </xf>
    <xf numFmtId="0" fontId="2" fillId="0" borderId="4" applyAlignment="1" applyProtection="1" pivotButton="0" quotePrefix="0" xfId="0">
      <alignment horizontal="center"/>
      <protection locked="0" hidden="0"/>
    </xf>
    <xf numFmtId="0" fontId="13" fillId="0" borderId="35" applyAlignment="1" applyProtection="1" pivotButton="0" quotePrefix="0" xfId="0">
      <alignment horizontal="left"/>
      <protection locked="0" hidden="0"/>
    </xf>
    <xf numFmtId="0" fontId="0" fillId="8" borderId="42" applyProtection="1" pivotButton="0" quotePrefix="0" xfId="0">
      <protection locked="0" hidden="0"/>
    </xf>
    <xf numFmtId="0" fontId="12" fillId="16" borderId="35" applyProtection="1" pivotButton="0" quotePrefix="0" xfId="0">
      <protection locked="0" hidden="0"/>
    </xf>
    <xf numFmtId="0" fontId="13" fillId="16" borderId="35" applyProtection="1" pivotButton="0" quotePrefix="0" xfId="0">
      <protection locked="0" hidden="0"/>
    </xf>
    <xf numFmtId="0" fontId="14" fillId="8" borderId="26" applyAlignment="1" applyProtection="1" pivotButton="0" quotePrefix="0" xfId="0">
      <alignment horizontal="center"/>
      <protection locked="0" hidden="0"/>
    </xf>
    <xf numFmtId="0" fontId="13" fillId="16" borderId="33" applyProtection="1" pivotButton="0" quotePrefix="0" xfId="0">
      <protection locked="0" hidden="0"/>
    </xf>
    <xf numFmtId="0" fontId="12" fillId="16" borderId="33" applyProtection="1" pivotButton="0" quotePrefix="0" xfId="0">
      <protection locked="0" hidden="0"/>
    </xf>
    <xf numFmtId="0" fontId="13" fillId="0" borderId="35" applyAlignment="1" applyProtection="1" pivotButton="0" quotePrefix="0" xfId="0">
      <alignment wrapText="1"/>
      <protection locked="0" hidden="0"/>
    </xf>
    <xf numFmtId="0" fontId="14" fillId="0" borderId="4" applyAlignment="1" applyProtection="1" pivotButton="0" quotePrefix="0" xfId="0">
      <alignment horizontal="center"/>
      <protection locked="0" hidden="0"/>
    </xf>
    <xf numFmtId="0" fontId="0" fillId="29" borderId="0" pivotButton="0" quotePrefix="0" xfId="0"/>
    <xf numFmtId="0" fontId="14" fillId="7" borderId="39" applyAlignment="1" applyProtection="1" pivotButton="0" quotePrefix="0" xfId="0">
      <alignment horizontal="center"/>
      <protection locked="0" hidden="0"/>
    </xf>
    <xf numFmtId="0" fontId="0" fillId="32" borderId="4" applyProtection="1" pivotButton="0" quotePrefix="0" xfId="0">
      <protection locked="0" hidden="0"/>
    </xf>
    <xf numFmtId="0" fontId="0" fillId="32" borderId="6" applyProtection="1" pivotButton="0" quotePrefix="0" xfId="0">
      <protection locked="0" hidden="0"/>
    </xf>
    <xf numFmtId="0" fontId="0" fillId="32" borderId="26" applyProtection="1" pivotButton="0" quotePrefix="0" xfId="0">
      <protection locked="0" hidden="0"/>
    </xf>
    <xf numFmtId="0" fontId="0" fillId="33" borderId="4" applyProtection="1" pivotButton="0" quotePrefix="0" xfId="0">
      <protection locked="0" hidden="0"/>
    </xf>
    <xf numFmtId="0" fontId="0" fillId="33" borderId="6" applyProtection="1" pivotButton="0" quotePrefix="0" xfId="0">
      <protection locked="0" hidden="0"/>
    </xf>
    <xf numFmtId="0" fontId="0" fillId="33" borderId="39" applyProtection="1" pivotButton="0" quotePrefix="0" xfId="0">
      <protection locked="0" hidden="0"/>
    </xf>
    <xf numFmtId="0" fontId="0" fillId="33" borderId="40" applyProtection="1" pivotButton="0" quotePrefix="0" xfId="0">
      <protection locked="0" hidden="0"/>
    </xf>
    <xf numFmtId="0" fontId="0" fillId="33" borderId="41" applyProtection="1" pivotButton="0" quotePrefix="0" xfId="0">
      <protection locked="0" hidden="0"/>
    </xf>
    <xf numFmtId="0" fontId="0" fillId="32" borderId="39" applyProtection="1" pivotButton="0" quotePrefix="0" xfId="0">
      <protection locked="0" hidden="0"/>
    </xf>
    <xf numFmtId="0" fontId="0" fillId="32" borderId="40" applyProtection="1" pivotButton="0" quotePrefix="0" xfId="0">
      <protection locked="0" hidden="0"/>
    </xf>
    <xf numFmtId="0" fontId="0" fillId="32" borderId="41" applyProtection="1" pivotButton="0" quotePrefix="0" xfId="0">
      <protection locked="0" hidden="0"/>
    </xf>
    <xf numFmtId="0" fontId="0" fillId="34" borderId="4" applyProtection="1" pivotButton="0" quotePrefix="0" xfId="0">
      <protection locked="0" hidden="0"/>
    </xf>
    <xf numFmtId="0" fontId="0" fillId="34" borderId="6" applyProtection="1" pivotButton="0" quotePrefix="0" xfId="0">
      <protection locked="0" hidden="0"/>
    </xf>
    <xf numFmtId="0" fontId="0" fillId="34" borderId="26" applyProtection="1" pivotButton="0" quotePrefix="0" xfId="0">
      <protection locked="0" hidden="0"/>
    </xf>
    <xf numFmtId="0" fontId="0" fillId="35" borderId="4" applyProtection="1" pivotButton="0" quotePrefix="0" xfId="0">
      <protection locked="0" hidden="0"/>
    </xf>
    <xf numFmtId="0" fontId="0" fillId="35" borderId="6" applyProtection="1" pivotButton="0" quotePrefix="0" xfId="0">
      <protection locked="0" hidden="0"/>
    </xf>
    <xf numFmtId="0" fontId="0" fillId="36" borderId="4" applyProtection="1" pivotButton="0" quotePrefix="0" xfId="0">
      <protection locked="0" hidden="0"/>
    </xf>
    <xf numFmtId="0" fontId="0" fillId="36" borderId="6" applyProtection="1" pivotButton="0" quotePrefix="0" xfId="0">
      <protection locked="0" hidden="0"/>
    </xf>
    <xf numFmtId="0" fontId="0" fillId="37" borderId="4" applyProtection="1" pivotButton="0" quotePrefix="0" xfId="0">
      <protection locked="0" hidden="0"/>
    </xf>
    <xf numFmtId="0" fontId="0" fillId="37" borderId="6" applyProtection="1" pivotButton="0" quotePrefix="0" xfId="0">
      <protection locked="0" hidden="0"/>
    </xf>
    <xf numFmtId="0" fontId="0" fillId="38" borderId="26" applyProtection="1" pivotButton="0" quotePrefix="0" xfId="0">
      <protection locked="0" hidden="0"/>
    </xf>
    <xf numFmtId="0" fontId="0" fillId="38" borderId="6" applyProtection="1" pivotButton="0" quotePrefix="0" xfId="0">
      <protection locked="0" hidden="0"/>
    </xf>
    <xf numFmtId="0" fontId="0" fillId="38" borderId="4" applyProtection="1" pivotButton="0" quotePrefix="0" xfId="0">
      <protection locked="0" hidden="0"/>
    </xf>
    <xf numFmtId="0" fontId="0" fillId="39" borderId="4" applyProtection="1" pivotButton="0" quotePrefix="0" xfId="0">
      <protection locked="0" hidden="0"/>
    </xf>
    <xf numFmtId="0" fontId="0" fillId="39" borderId="6" applyProtection="1" pivotButton="0" quotePrefix="0" xfId="0">
      <protection locked="0" hidden="0"/>
    </xf>
    <xf numFmtId="0" fontId="0" fillId="39" borderId="26" applyProtection="1" pivotButton="0" quotePrefix="0" xfId="0">
      <protection locked="0" hidden="0"/>
    </xf>
    <xf numFmtId="0" fontId="2" fillId="2" borderId="28" applyAlignment="1" applyProtection="1" pivotButton="0" quotePrefix="0" xfId="0">
      <alignment horizontal="center"/>
      <protection locked="0" hidden="0"/>
    </xf>
    <xf numFmtId="0" fontId="0" fillId="0" borderId="54" applyProtection="1" pivotButton="0" quotePrefix="0" xfId="0">
      <protection locked="0" hidden="0"/>
    </xf>
    <xf numFmtId="0" fontId="0" fillId="2" borderId="2" applyAlignment="1" pivotButton="0" quotePrefix="0" xfId="0">
      <alignment horizontal="center"/>
    </xf>
    <xf numFmtId="0" fontId="0" fillId="0" borderId="30" pivotButton="0" quotePrefix="0" xfId="0"/>
    <xf numFmtId="0" fontId="2" fillId="2" borderId="29" applyAlignment="1" pivotButton="0" quotePrefix="0" xfId="0">
      <alignment horizontal="center"/>
    </xf>
    <xf numFmtId="0" fontId="0" fillId="0" borderId="25" pivotButton="0" quotePrefix="0" xfId="0"/>
    <xf numFmtId="0" fontId="0" fillId="0" borderId="29" pivotButton="0" quotePrefix="0" xfId="0"/>
    <xf numFmtId="0" fontId="1" fillId="3" borderId="14" applyAlignment="1" pivotButton="0" quotePrefix="0" xfId="0">
      <alignment horizontal="left"/>
    </xf>
    <xf numFmtId="0" fontId="0" fillId="0" borderId="14" pivotButton="0" quotePrefix="0" xfId="0"/>
    <xf numFmtId="0" fontId="0" fillId="2" borderId="9" applyAlignment="1" pivotButton="0" quotePrefix="0" xfId="0">
      <alignment horizontal="center"/>
    </xf>
    <xf numFmtId="0" fontId="2" fillId="2" borderId="27" applyAlignment="1" applyProtection="1" pivotButton="0" quotePrefix="0" xfId="0">
      <alignment horizontal="center"/>
      <protection locked="0" hidden="0"/>
    </xf>
    <xf numFmtId="0" fontId="1" fillId="3" borderId="18" applyAlignment="1" pivotButton="0" quotePrefix="0" xfId="0">
      <alignment horizontal="left"/>
    </xf>
    <xf numFmtId="0" fontId="0" fillId="0" borderId="18" pivotButton="0" quotePrefix="0" xfId="0"/>
    <xf numFmtId="164" fontId="5" fillId="2" borderId="21" applyAlignment="1" pivotButton="0" quotePrefix="0" xfId="0">
      <alignment horizontal="center"/>
    </xf>
    <xf numFmtId="0" fontId="0" fillId="0" borderId="21" pivotButton="0" quotePrefix="0" xfId="0"/>
    <xf numFmtId="0" fontId="0" fillId="2" borderId="37" applyAlignment="1" pivotButton="0" quotePrefix="0" xfId="0">
      <alignment horizontal="center"/>
    </xf>
    <xf numFmtId="0" fontId="0" fillId="0" borderId="24" pivotButton="0" quotePrefix="0" xfId="0"/>
    <xf numFmtId="0" fontId="0" fillId="0" borderId="55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2" fillId="2" borderId="7" applyAlignment="1" pivotButton="0" quotePrefix="0" xfId="0">
      <alignment horizontal="center"/>
    </xf>
    <xf numFmtId="164" fontId="0" fillId="2" borderId="21" applyAlignment="1" pivotButton="0" quotePrefix="0" xfId="0">
      <alignment horizontal="center"/>
    </xf>
    <xf numFmtId="165" fontId="5" fillId="4" borderId="51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" fillId="3" borderId="51" applyAlignment="1" pivotButton="0" quotePrefix="0" xfId="0">
      <alignment horizontal="right" wrapText="1"/>
    </xf>
    <xf numFmtId="0" fontId="1" fillId="3" borderId="52" applyAlignment="1" pivotButton="0" quotePrefix="0" xfId="0">
      <alignment horizontal="right" wrapText="1"/>
    </xf>
    <xf numFmtId="0" fontId="0" fillId="0" borderId="17" pivotButton="0" quotePrefix="0" xfId="0"/>
    <xf numFmtId="0" fontId="0" fillId="0" borderId="19" pivotButton="0" quotePrefix="0" xfId="0"/>
    <xf numFmtId="0" fontId="0" fillId="0" borderId="55" applyAlignment="1" applyProtection="1" pivotButton="0" quotePrefix="0" xfId="0">
      <alignment horizontal="left" vertical="top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38" applyProtection="1" pivotButton="0" quotePrefix="0" xfId="0">
      <protection locked="0" hidden="0"/>
    </xf>
    <xf numFmtId="0" fontId="0" fillId="2" borderId="30" applyAlignment="1" pivotButton="0" quotePrefix="0" xfId="0">
      <alignment horizontal="center"/>
    </xf>
    <xf numFmtId="0" fontId="4" fillId="3" borderId="5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55" applyAlignment="1" applyProtection="1" pivotButton="0" quotePrefix="0" xfId="0">
      <alignment horizontal="left" vertical="top" wrapText="1"/>
      <protection locked="0" hidden="0"/>
    </xf>
    <xf numFmtId="14" fontId="5" fillId="4" borderId="51" applyAlignment="1" applyProtection="1" pivotButton="0" quotePrefix="0" xfId="0">
      <alignment horizontal="center" vertical="center"/>
      <protection locked="0" hidden="0"/>
    </xf>
    <xf numFmtId="0" fontId="0" fillId="18" borderId="56" applyAlignment="1" applyProtection="1" pivotButton="0" quotePrefix="0" xfId="0">
      <alignment horizontal="center" vertical="center" wrapText="1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18" borderId="57" applyAlignment="1" applyProtection="1" pivotButton="0" quotePrefix="0" xfId="0">
      <alignment horizontal="center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18" borderId="56" applyAlignment="1" applyProtection="1" pivotButton="0" quotePrefix="0" xfId="0">
      <alignment horizontal="center"/>
      <protection locked="0" hidden="0"/>
    </xf>
    <xf numFmtId="0" fontId="0" fillId="40" borderId="26" applyProtection="1" pivotButton="0" quotePrefix="0" xfId="0">
      <protection locked="0" hidden="0"/>
    </xf>
    <xf numFmtId="0" fontId="0" fillId="40" borderId="6" applyProtection="1" pivotButton="0" quotePrefix="0" xfId="0">
      <protection locked="0" hidden="0"/>
    </xf>
    <xf numFmtId="0" fontId="0" fillId="40" borderId="4" applyProtection="1" pivotButton="0" quotePrefix="0" xfId="0">
      <protection locked="0" hidden="0"/>
    </xf>
    <xf numFmtId="0" fontId="14" fillId="16" borderId="35" applyProtection="1" pivotButton="0" quotePrefix="0" xfId="0">
      <protection locked="0" hidden="0"/>
    </xf>
    <xf numFmtId="0" fontId="0" fillId="41" borderId="4" applyProtection="1" pivotButton="0" quotePrefix="0" xfId="0">
      <protection locked="0" hidden="0"/>
    </xf>
    <xf numFmtId="0" fontId="0" fillId="41" borderId="6" applyProtection="1" pivotButton="0" quotePrefix="0" xfId="0">
      <protection locked="0" hidden="0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2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3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72</col>
      <colOff>0</colOff>
      <row>0</row>
      <rowOff>0</rowOff>
    </from>
    <to>
      <col>82</col>
      <colOff>47616</colOff>
      <row>124</row>
      <rowOff>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897350" y="0"/>
          <a:ext cx="7191366" cy="197739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codeName="Tabelle21">
    <outlinePr summaryBelow="1" summaryRight="1"/>
    <pageSetUpPr fitToPage="1"/>
  </sheetPr>
  <dimension ref="A1:BS116"/>
  <sheetViews>
    <sheetView tabSelected="1" zoomScale="70" zoomScaleNormal="70" workbookViewId="0">
      <selection activeCell="CC120" sqref="CC120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199" t="inlineStr">
        <is>
          <t>5-Wochenprogramm</t>
        </is>
      </c>
      <c r="B1" s="189" t="n">
        <v>46223</v>
      </c>
      <c r="C1" s="190" t="n"/>
      <c r="D1" s="190" t="n"/>
      <c r="E1" s="190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168" t="inlineStr">
        <is>
          <t>RKDO NalpSolar</t>
        </is>
      </c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91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69" t="n"/>
      <c r="AQ1" s="169" t="n"/>
      <c r="AR1" s="191" t="n"/>
      <c r="AS1" s="169" t="n"/>
      <c r="AT1" s="169" t="n"/>
      <c r="AU1" s="169" t="n"/>
      <c r="AV1" s="169" t="n"/>
      <c r="AW1" s="169" t="n"/>
      <c r="AX1" s="169" t="n"/>
      <c r="AY1" s="169" t="n"/>
      <c r="AZ1" s="169" t="n"/>
      <c r="BA1" s="169" t="n"/>
      <c r="BB1" s="169" t="n"/>
      <c r="BC1" s="169" t="n"/>
      <c r="BD1" s="169" t="n"/>
      <c r="BE1" s="169" t="n"/>
      <c r="BF1" s="192" t="n"/>
      <c r="BG1" s="169" t="n"/>
      <c r="BH1" s="169" t="n"/>
      <c r="BI1" s="169" t="n"/>
      <c r="BJ1" s="169" t="n"/>
      <c r="BK1" s="169" t="n"/>
      <c r="BL1" s="169" t="n"/>
      <c r="BM1" s="169" t="n"/>
      <c r="BN1" s="169" t="n"/>
      <c r="BO1" s="169" t="n"/>
      <c r="BP1" s="169" t="n"/>
      <c r="BQ1" s="169" t="n"/>
      <c r="BR1" s="169" t="n"/>
      <c r="BS1" s="193" t="n"/>
    </row>
    <row r="2" ht="13.5" customHeight="1" thickBot="1">
      <c r="A2" s="200" t="n"/>
      <c r="B2" s="185" t="n"/>
      <c r="C2" s="185" t="n"/>
      <c r="D2" s="185" t="n"/>
      <c r="E2" s="185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172" t="inlineStr">
        <is>
          <t>Samuel Decurtins</t>
        </is>
      </c>
      <c r="Q2" s="173" t="n"/>
      <c r="R2" s="173" t="n"/>
      <c r="S2" s="173" t="n"/>
      <c r="T2" s="173" t="n"/>
      <c r="U2" s="173" t="n"/>
      <c r="V2" s="173" t="n"/>
      <c r="W2" s="173" t="n"/>
      <c r="X2" s="173" t="n"/>
      <c r="Y2" s="173" t="n"/>
      <c r="Z2" s="173" t="n"/>
      <c r="AA2" s="173" t="n"/>
      <c r="AB2" s="173" t="n"/>
      <c r="AC2" s="173" t="n"/>
      <c r="AD2" s="173" t="n"/>
      <c r="AE2" s="173" t="n"/>
      <c r="AF2" s="173" t="n"/>
      <c r="AG2" s="173" t="n"/>
      <c r="AH2" s="173" t="n"/>
      <c r="AI2" s="173" t="n"/>
      <c r="AJ2" s="173" t="n"/>
      <c r="AK2" s="173" t="n"/>
      <c r="AL2" s="173" t="n"/>
      <c r="AM2" s="173" t="n"/>
      <c r="AN2" s="173" t="n"/>
      <c r="AO2" s="173" t="n"/>
      <c r="AP2" s="173" t="n"/>
      <c r="AQ2" s="173" t="n"/>
      <c r="AR2" s="173" t="n"/>
      <c r="AS2" s="173" t="n"/>
      <c r="AT2" s="173" t="n"/>
      <c r="AU2" s="173" t="n"/>
      <c r="AV2" s="173" t="n"/>
      <c r="AW2" s="173" t="n"/>
      <c r="AX2" s="173" t="n"/>
      <c r="AY2" s="173" t="n"/>
      <c r="AZ2" s="173" t="n"/>
      <c r="BA2" s="173" t="n"/>
      <c r="BB2" s="173" t="n"/>
      <c r="BC2" s="173" t="n"/>
      <c r="BD2" s="173" t="n"/>
      <c r="BE2" s="173" t="n"/>
      <c r="BF2" s="173" t="n"/>
      <c r="BG2" s="173" t="n"/>
      <c r="BH2" s="173" t="n"/>
      <c r="BI2" s="173" t="n"/>
      <c r="BJ2" s="173" t="n"/>
      <c r="BK2" s="173" t="n"/>
      <c r="BL2" s="173" t="n"/>
      <c r="BM2" s="173" t="n"/>
      <c r="BN2" s="173" t="n"/>
      <c r="BO2" s="173" t="n"/>
      <c r="BP2" s="173" t="n"/>
      <c r="BQ2" s="173" t="n"/>
      <c r="BR2" s="173" t="n"/>
      <c r="BS2" s="194" t="n"/>
    </row>
    <row r="3">
      <c r="A3" s="12" t="inlineStr">
        <is>
          <t>A --&gt; E = Anfang Ende Gesamtbauprogramm</t>
        </is>
      </c>
      <c r="B3" s="165">
        <f>"Woche " &amp; WEEKNUM(B4)</f>
        <v/>
      </c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  <c r="O3" s="167" t="n"/>
      <c r="P3" s="187">
        <f>"Woche " &amp; WEEKNUM(P4)</f>
        <v/>
      </c>
      <c r="Q3" s="166" t="n"/>
      <c r="R3" s="166" t="n"/>
      <c r="S3" s="166" t="n"/>
      <c r="T3" s="166" t="n"/>
      <c r="U3" s="166" t="n"/>
      <c r="V3" s="166" t="n"/>
      <c r="W3" s="166" t="n"/>
      <c r="X3" s="166" t="n"/>
      <c r="Y3" s="166" t="n"/>
      <c r="Z3" s="166" t="n"/>
      <c r="AA3" s="166" t="n"/>
      <c r="AB3" s="166" t="n"/>
      <c r="AC3" s="167" t="n"/>
      <c r="AD3" s="187">
        <f>"Woche " &amp; WEEKNUM(AD4)</f>
        <v/>
      </c>
      <c r="AE3" s="166" t="n"/>
      <c r="AF3" s="166" t="n"/>
      <c r="AG3" s="166" t="n"/>
      <c r="AH3" s="166" t="n"/>
      <c r="AI3" s="166" t="n"/>
      <c r="AJ3" s="166" t="n"/>
      <c r="AK3" s="166" t="n"/>
      <c r="AL3" s="166" t="n"/>
      <c r="AM3" s="166" t="n"/>
      <c r="AN3" s="166" t="n"/>
      <c r="AO3" s="166" t="n"/>
      <c r="AP3" s="166" t="n"/>
      <c r="AQ3" s="167" t="n"/>
      <c r="AR3" s="187">
        <f>"Woche " &amp; WEEKNUM(AR4)</f>
        <v/>
      </c>
      <c r="AS3" s="166" t="n"/>
      <c r="AT3" s="166" t="n"/>
      <c r="AU3" s="166" t="n"/>
      <c r="AV3" s="166" t="n"/>
      <c r="AW3" s="166" t="n"/>
      <c r="AX3" s="166" t="n"/>
      <c r="AY3" s="166" t="n"/>
      <c r="AZ3" s="166" t="n"/>
      <c r="BA3" s="166" t="n"/>
      <c r="BB3" s="166" t="n"/>
      <c r="BC3" s="166" t="n"/>
      <c r="BD3" s="166" t="n"/>
      <c r="BE3" s="167" t="n"/>
      <c r="BF3" s="187">
        <f>"Woche " &amp; WEEKNUM(BF4)</f>
        <v/>
      </c>
      <c r="BG3" s="166" t="n"/>
      <c r="BH3" s="166" t="n"/>
      <c r="BI3" s="166" t="n"/>
      <c r="BJ3" s="166" t="n"/>
      <c r="BK3" s="166" t="n"/>
      <c r="BL3" s="166" t="n"/>
      <c r="BM3" s="166" t="n"/>
      <c r="BN3" s="166" t="n"/>
      <c r="BO3" s="166" t="n"/>
      <c r="BP3" s="166" t="n"/>
      <c r="BQ3" s="166" t="n"/>
      <c r="BR3" s="166" t="n"/>
      <c r="BS3" s="167" t="n"/>
    </row>
    <row r="4">
      <c r="A4" s="13" t="inlineStr">
        <is>
          <t>(S),(M),(C),(V),(F) = Zuständigkeit (Vorname)</t>
        </is>
      </c>
      <c r="B4" s="174">
        <f>B1</f>
        <v/>
      </c>
      <c r="C4" s="175" t="n"/>
      <c r="D4" s="174">
        <f>B4+1</f>
        <v/>
      </c>
      <c r="E4" s="175" t="n"/>
      <c r="F4" s="174">
        <f>D4+1</f>
        <v/>
      </c>
      <c r="G4" s="175" t="n"/>
      <c r="H4" s="174">
        <f>F4+1</f>
        <v/>
      </c>
      <c r="I4" s="175" t="n"/>
      <c r="J4" s="174">
        <f>H4+1</f>
        <v/>
      </c>
      <c r="K4" s="175" t="n"/>
      <c r="L4" s="174">
        <f>J4+1</f>
        <v/>
      </c>
      <c r="M4" s="175" t="n"/>
      <c r="N4" s="174">
        <f>L4+1</f>
        <v/>
      </c>
      <c r="O4" s="175" t="n"/>
      <c r="P4" s="174">
        <f>N4+1</f>
        <v/>
      </c>
      <c r="Q4" s="175" t="n"/>
      <c r="R4" s="174">
        <f>P4+1</f>
        <v/>
      </c>
      <c r="S4" s="175" t="n"/>
      <c r="T4" s="174">
        <f>R4+1</f>
        <v/>
      </c>
      <c r="U4" s="175" t="n"/>
      <c r="V4" s="174">
        <f>T4+1</f>
        <v/>
      </c>
      <c r="W4" s="175" t="n"/>
      <c r="X4" s="174">
        <f>V4+1</f>
        <v/>
      </c>
      <c r="Y4" s="175" t="n"/>
      <c r="Z4" s="174">
        <f>X4+1</f>
        <v/>
      </c>
      <c r="AA4" s="175" t="n"/>
      <c r="AB4" s="188">
        <f>Z4+1</f>
        <v/>
      </c>
      <c r="AC4" s="175" t="n"/>
      <c r="AD4" s="188">
        <f>AB4+1</f>
        <v/>
      </c>
      <c r="AE4" s="175" t="n"/>
      <c r="AF4" s="174">
        <f>AD4+1</f>
        <v/>
      </c>
      <c r="AG4" s="175" t="n"/>
      <c r="AH4" s="174">
        <f>AF4+1</f>
        <v/>
      </c>
      <c r="AI4" s="175" t="n"/>
      <c r="AJ4" s="174">
        <f>AH4+1</f>
        <v/>
      </c>
      <c r="AK4" s="175" t="n"/>
      <c r="AL4" s="174">
        <f>AJ4+1</f>
        <v/>
      </c>
      <c r="AM4" s="175" t="n"/>
      <c r="AN4" s="174">
        <f>AL4+1</f>
        <v/>
      </c>
      <c r="AO4" s="175" t="n"/>
      <c r="AP4" s="174">
        <f>AN4+1</f>
        <v/>
      </c>
      <c r="AQ4" s="175" t="n"/>
      <c r="AR4" s="174">
        <f>AP4+1</f>
        <v/>
      </c>
      <c r="AS4" s="175" t="n"/>
      <c r="AT4" s="174">
        <f>AR4+1</f>
        <v/>
      </c>
      <c r="AU4" s="175" t="n"/>
      <c r="AV4" s="174">
        <f>AT4+1</f>
        <v/>
      </c>
      <c r="AW4" s="175" t="n"/>
      <c r="AX4" s="174">
        <f>AV4+1</f>
        <v/>
      </c>
      <c r="AY4" s="175" t="n"/>
      <c r="AZ4" s="174">
        <f>AX4+1</f>
        <v/>
      </c>
      <c r="BA4" s="175" t="n"/>
      <c r="BB4" s="174">
        <f>AZ4+1</f>
        <v/>
      </c>
      <c r="BC4" s="175" t="n"/>
      <c r="BD4" s="174">
        <f>BB4+1</f>
        <v/>
      </c>
      <c r="BE4" s="175" t="n"/>
      <c r="BF4" s="174">
        <f>BD4+1</f>
        <v/>
      </c>
      <c r="BG4" s="175" t="n"/>
      <c r="BH4" s="174">
        <f>BF4+1</f>
        <v/>
      </c>
      <c r="BI4" s="175" t="n"/>
      <c r="BJ4" s="174">
        <f>BH4+1</f>
        <v/>
      </c>
      <c r="BK4" s="175" t="n"/>
      <c r="BL4" s="174">
        <f>BJ4+1</f>
        <v/>
      </c>
      <c r="BM4" s="175" t="n"/>
      <c r="BN4" s="174">
        <f>BL4+1</f>
        <v/>
      </c>
      <c r="BO4" s="175" t="n"/>
      <c r="BP4" s="174">
        <f>BN4+1</f>
        <v/>
      </c>
      <c r="BQ4" s="175" t="n"/>
      <c r="BR4" s="174">
        <f>BP4+1</f>
        <v/>
      </c>
      <c r="BS4" s="175" t="n"/>
    </row>
    <row r="5">
      <c r="A5" s="75" t="inlineStr">
        <is>
          <t>Rot = Verzug</t>
        </is>
      </c>
      <c r="B5" s="198" t="inlineStr">
        <is>
          <t>Mo</t>
        </is>
      </c>
      <c r="C5" s="164" t="n"/>
      <c r="D5" s="163" t="inlineStr">
        <is>
          <t>Di</t>
        </is>
      </c>
      <c r="E5" s="164" t="n"/>
      <c r="F5" s="163" t="inlineStr">
        <is>
          <t>Mi</t>
        </is>
      </c>
      <c r="G5" s="164" t="n"/>
      <c r="H5" s="163" t="inlineStr">
        <is>
          <t>Do</t>
        </is>
      </c>
      <c r="I5" s="164" t="n"/>
      <c r="J5" s="163" t="inlineStr">
        <is>
          <t>Fr</t>
        </is>
      </c>
      <c r="K5" s="164" t="n"/>
      <c r="L5" s="163" t="inlineStr">
        <is>
          <t>Sa</t>
        </is>
      </c>
      <c r="M5" s="164" t="n"/>
      <c r="N5" s="163" t="inlineStr">
        <is>
          <t>So</t>
        </is>
      </c>
      <c r="O5" s="164" t="n"/>
      <c r="P5" s="170" t="inlineStr">
        <is>
          <t>Mo</t>
        </is>
      </c>
      <c r="Q5" s="164" t="n"/>
      <c r="R5" s="163" t="inlineStr">
        <is>
          <t>Di</t>
        </is>
      </c>
      <c r="S5" s="164" t="n"/>
      <c r="T5" s="163" t="inlineStr">
        <is>
          <t>Mi</t>
        </is>
      </c>
      <c r="U5" s="164" t="n"/>
      <c r="V5" s="163" t="inlineStr">
        <is>
          <t>Do</t>
        </is>
      </c>
      <c r="W5" s="164" t="n"/>
      <c r="X5" s="163" t="inlineStr">
        <is>
          <t>Fr</t>
        </is>
      </c>
      <c r="Y5" s="164" t="n"/>
      <c r="Z5" s="163" t="inlineStr">
        <is>
          <t>Sa</t>
        </is>
      </c>
      <c r="AA5" s="164" t="n"/>
      <c r="AB5" s="163" t="inlineStr">
        <is>
          <t>So</t>
        </is>
      </c>
      <c r="AC5" s="164" t="n"/>
      <c r="AD5" s="170" t="inlineStr">
        <is>
          <t>Mo</t>
        </is>
      </c>
      <c r="AE5" s="164" t="n"/>
      <c r="AF5" s="163" t="inlineStr">
        <is>
          <t>Di</t>
        </is>
      </c>
      <c r="AG5" s="164" t="n"/>
      <c r="AH5" s="163" t="inlineStr">
        <is>
          <t>Mi</t>
        </is>
      </c>
      <c r="AI5" s="164" t="n"/>
      <c r="AJ5" s="163" t="inlineStr">
        <is>
          <t>Do</t>
        </is>
      </c>
      <c r="AK5" s="164" t="n"/>
      <c r="AL5" s="163" t="inlineStr">
        <is>
          <t>Fr</t>
        </is>
      </c>
      <c r="AM5" s="164" t="n"/>
      <c r="AN5" s="163" t="inlineStr">
        <is>
          <t>Sa</t>
        </is>
      </c>
      <c r="AO5" s="164" t="n"/>
      <c r="AP5" s="163" t="inlineStr">
        <is>
          <t>So</t>
        </is>
      </c>
      <c r="AQ5" s="164" t="n"/>
      <c r="AR5" s="170" t="inlineStr">
        <is>
          <t>Mo</t>
        </is>
      </c>
      <c r="AS5" s="164" t="n"/>
      <c r="AT5" s="163" t="inlineStr">
        <is>
          <t>Di</t>
        </is>
      </c>
      <c r="AU5" s="164" t="n"/>
      <c r="AV5" s="163" t="inlineStr">
        <is>
          <t>Mi</t>
        </is>
      </c>
      <c r="AW5" s="164" t="n"/>
      <c r="AX5" s="163" t="inlineStr">
        <is>
          <t>Do</t>
        </is>
      </c>
      <c r="AY5" s="164" t="n"/>
      <c r="AZ5" s="163" t="inlineStr">
        <is>
          <t>Fr</t>
        </is>
      </c>
      <c r="BA5" s="164" t="n"/>
      <c r="BB5" s="163" t="inlineStr">
        <is>
          <t>Sa</t>
        </is>
      </c>
      <c r="BC5" s="164" t="n"/>
      <c r="BD5" s="163" t="inlineStr">
        <is>
          <t>So</t>
        </is>
      </c>
      <c r="BE5" s="164" t="n"/>
      <c r="BF5" s="170" t="inlineStr">
        <is>
          <t>Mo</t>
        </is>
      </c>
      <c r="BG5" s="164" t="n"/>
      <c r="BH5" s="163" t="inlineStr">
        <is>
          <t>Di</t>
        </is>
      </c>
      <c r="BI5" s="164" t="n"/>
      <c r="BJ5" s="163" t="inlineStr">
        <is>
          <t>Mi</t>
        </is>
      </c>
      <c r="BK5" s="164" t="n"/>
      <c r="BL5" s="163" t="inlineStr">
        <is>
          <t>Do</t>
        </is>
      </c>
      <c r="BM5" s="164" t="n"/>
      <c r="BN5" s="163" t="inlineStr">
        <is>
          <t>Fr</t>
        </is>
      </c>
      <c r="BO5" s="164" t="n"/>
      <c r="BP5" s="163" t="inlineStr">
        <is>
          <t>Sa</t>
        </is>
      </c>
      <c r="BQ5" s="164" t="n"/>
      <c r="BR5" s="163" t="inlineStr">
        <is>
          <t>So</t>
        </is>
      </c>
      <c r="BS5" s="164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- der neue Euromac (01.08.) ERSETZT den alten Muk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26_5.2 / 5.3 / 5.4  (Rev A9 v. 10.07.)</t>
        </is>
      </c>
      <c r="B13" s="116" t="n"/>
      <c r="C13" s="117" t="n"/>
      <c r="D13" s="118" t="n"/>
      <c r="E13" s="117" t="n"/>
      <c r="F13" s="118" t="n"/>
      <c r="G13" s="117" t="n"/>
      <c r="H13" s="118" t="n"/>
      <c r="I13" s="117" t="n"/>
      <c r="J13" s="118" t="n"/>
      <c r="K13" s="117" t="n"/>
      <c r="L13" s="26" t="n"/>
      <c r="M13" s="27" t="n"/>
      <c r="N13" s="26" t="n"/>
      <c r="O13" s="28" t="n"/>
      <c r="P13" s="116" t="n"/>
      <c r="Q13" s="117" t="n"/>
      <c r="R13" s="118" t="n"/>
      <c r="S13" s="117" t="n"/>
      <c r="T13" s="118" t="n"/>
      <c r="U13" s="117" t="n"/>
      <c r="V13" s="118" t="n"/>
      <c r="W13" s="117" t="n"/>
      <c r="X13" s="118" t="n"/>
      <c r="Y13" s="117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Absteckung 26_6.1 / 6.2 + BP_B_8 bis B_10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116" t="n"/>
      <c r="AS14" s="117" t="n"/>
      <c r="AT14" s="118" t="n"/>
      <c r="AU14" s="117" t="n"/>
      <c r="AV14" s="118" t="n"/>
      <c r="AW14" s="117" t="n"/>
      <c r="AX14" s="118" t="n"/>
      <c r="AY14" s="117" t="n"/>
      <c r="AZ14" s="118" t="n"/>
      <c r="BA14" s="117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26_4.3 GEBOHRT - Pfaehle einsetzen (Roter Kran, Boei)</t>
        </is>
      </c>
      <c r="B16" s="119" t="n"/>
      <c r="C16" s="120" t="n"/>
      <c r="D16" s="121" t="n"/>
      <c r="E16" s="12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Bohren 26_5.2 (75 Stz) - ab Mi 22.07. roter Muk, weiter oben</t>
        </is>
      </c>
      <c r="B17" s="155" t="n"/>
      <c r="C17" s="156" t="n"/>
      <c r="D17" s="157" t="n"/>
      <c r="E17" s="156" t="n"/>
      <c r="F17" s="158" t="n"/>
      <c r="G17" s="159" t="n"/>
      <c r="H17" s="158" t="n"/>
      <c r="I17" s="159" t="n"/>
      <c r="J17" s="158" t="n"/>
      <c r="K17" s="159" t="n"/>
      <c r="L17" s="26" t="n"/>
      <c r="M17" s="27" t="n"/>
      <c r="N17" s="26" t="n"/>
      <c r="O17" s="28" t="n"/>
      <c r="P17" s="160" t="n"/>
      <c r="Q17" s="159" t="n"/>
      <c r="R17" s="158" t="n"/>
      <c r="S17" s="159" t="n"/>
      <c r="T17" s="158" t="n"/>
      <c r="U17" s="159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26_1.6 (25 Stz) - gelber Muk HEUTE runter (Mi 22.07.)</t>
        </is>
      </c>
      <c r="B18" s="125" t="n"/>
      <c r="C18" s="31" t="n"/>
      <c r="D18" s="9" t="n"/>
      <c r="E18" s="10" t="n"/>
      <c r="F18" s="157" t="n"/>
      <c r="G18" s="156" t="n"/>
      <c r="H18" s="157" t="n"/>
      <c r="I18" s="156" t="n"/>
      <c r="J18" s="157" t="n"/>
      <c r="K18" s="156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26_4.5   (13 Stz)                                  G1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3" t="n"/>
      <c r="AG19" s="92" t="n"/>
      <c r="AH19" s="93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(2 Stz) + 26_3.2 (4 Stz)                    G1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92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BP_B_2 (9 Stz) + BP_B_3 (29 Stz)                   G1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3" t="n"/>
      <c r="AK21" s="92" t="n"/>
      <c r="AL21" s="93" t="n"/>
      <c r="AM21" s="92" t="n"/>
      <c r="AN21" s="26" t="n"/>
      <c r="AO21" s="27" t="n"/>
      <c r="AP21" s="26" t="n"/>
      <c r="AQ21" s="28" t="n"/>
      <c r="AR21" s="91" t="n"/>
      <c r="AS21" s="92" t="n"/>
      <c r="AT21" s="93" t="n"/>
      <c r="AU21" s="92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BP_B_4 / BP_B_5                                    G1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3" t="n"/>
      <c r="AW22" s="92" t="n"/>
      <c r="AX22" s="93" t="n"/>
      <c r="AY22" s="92" t="n"/>
      <c r="AZ22" s="93" t="n"/>
      <c r="BA22" s="92" t="n"/>
      <c r="BB22" s="26" t="n"/>
      <c r="BC22" s="27" t="n"/>
      <c r="BD22" s="26" t="n"/>
      <c r="BE22" s="28" t="n"/>
      <c r="BF22" s="91" t="n"/>
      <c r="BG22" s="92" t="n"/>
      <c r="BH22" s="93" t="n"/>
      <c r="BI22" s="92" t="n"/>
      <c r="BJ22" s="93" t="n"/>
      <c r="BK22" s="92" t="n"/>
      <c r="BL22" s="93" t="n"/>
      <c r="BM22" s="92" t="n"/>
      <c r="BN22" s="93" t="n"/>
      <c r="BO22" s="92" t="n"/>
      <c r="BP22" s="26" t="n"/>
      <c r="BQ22" s="27" t="n"/>
      <c r="BR22" s="26" t="n"/>
      <c r="BS22" s="28" t="n"/>
    </row>
    <row r="23">
      <c r="A23" s="124" t="inlineStr">
        <is>
          <t xml:space="preserve">  Bohren 26_4.4 (62 Stz) - Mo-Di roter Muk, Rest gelber Muk</t>
        </is>
      </c>
      <c r="B23" s="160" t="n"/>
      <c r="C23" s="159" t="n"/>
      <c r="D23" s="158" t="n"/>
      <c r="E23" s="159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155" t="n"/>
      <c r="Q23" s="156" t="n"/>
      <c r="R23" s="157" t="n"/>
      <c r="S23" s="156" t="n"/>
      <c r="T23" s="157" t="n"/>
      <c r="U23" s="156" t="n"/>
      <c r="V23" s="157" t="n"/>
      <c r="W23" s="156" t="n"/>
      <c r="X23" s="157" t="n"/>
      <c r="Y23" s="156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24" t="inlineStr">
        <is>
          <t xml:space="preserve">  Bohren 26_5.1 ausserhalb Alpwuestungen (76 Stz)           G2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6" t="n"/>
      <c r="U24" s="95" t="n"/>
      <c r="V24" s="96" t="n"/>
      <c r="W24" s="95" t="n"/>
      <c r="X24" s="96" t="n"/>
      <c r="Y24" s="95" t="n"/>
      <c r="Z24" s="26" t="n"/>
      <c r="AA24" s="27" t="n"/>
      <c r="AB24" s="26" t="n"/>
      <c r="AC24" s="28" t="n"/>
      <c r="AD24" s="94" t="n"/>
      <c r="AE24" s="95" t="n"/>
      <c r="AF24" s="96" t="n"/>
      <c r="AG24" s="95" t="n"/>
      <c r="AH24" s="96" t="n"/>
      <c r="AI24" s="95" t="n"/>
      <c r="AJ24" s="96" t="n"/>
      <c r="AK24" s="95" t="n"/>
      <c r="AL24" s="96" t="n"/>
      <c r="AM24" s="95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26_5.1 Alpwuestungen - NUR mit ADG-Begleitung!      G2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94" t="n"/>
      <c r="AS25" s="95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inlineStr">
        <is>
          <t xml:space="preserve">  Bohren 26_5.3   (153 Stz - ca. 85 schaffbar, Rest KW35)    G2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6" t="n"/>
      <c r="AU26" s="95" t="n"/>
      <c r="AV26" s="96" t="n"/>
      <c r="AW26" s="95" t="n"/>
      <c r="AX26" s="96" t="n"/>
      <c r="AY26" s="95" t="n"/>
      <c r="AZ26" s="96" t="n"/>
      <c r="BA26" s="95" t="n"/>
      <c r="BB26" s="26" t="n"/>
      <c r="BC26" s="27" t="n"/>
      <c r="BD26" s="26" t="n"/>
      <c r="BE26" s="28" t="n"/>
      <c r="BF26" s="94" t="n"/>
      <c r="BG26" s="95" t="n"/>
      <c r="BH26" s="96" t="n"/>
      <c r="BI26" s="95" t="n"/>
      <c r="BJ26" s="96" t="n"/>
      <c r="BK26" s="95" t="n"/>
      <c r="BL26" s="96" t="n"/>
      <c r="BM26" s="95" t="n"/>
      <c r="BN26" s="96" t="n"/>
      <c r="BO26" s="95" t="n"/>
      <c r="BP26" s="26" t="n"/>
      <c r="BQ26" s="27" t="n"/>
      <c r="BR26" s="26" t="n"/>
      <c r="BS26" s="28" t="n"/>
    </row>
    <row r="27">
      <c r="A27" s="124" t="inlineStr">
        <is>
          <t xml:space="preserve">  Bohren 26_5.4   (89 Stz) - passt NICHT mehr ins Fenster, ab KW35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26_4.3 / 4.4 / 5.1 - Material Mo vorbereitet, Start Di 21.07.</t>
        </is>
      </c>
      <c r="B28" s="32" t="n"/>
      <c r="C28" s="31" t="n"/>
      <c r="D28" s="99" t="n"/>
      <c r="E28" s="98" t="n"/>
      <c r="F28" s="99" t="n"/>
      <c r="G28" s="98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15" t="inlineStr">
        <is>
          <t xml:space="preserve">  Injektion uebrige Bereiche (Nachlauf ~2 Tage) - Freigabe fuer Pfahlkopfplatten</t>
        </is>
      </c>
      <c r="B29" s="32" t="n"/>
      <c r="C29" s="31" t="n"/>
      <c r="D29" s="9" t="n"/>
      <c r="E29" s="10" t="n"/>
      <c r="F29" s="9" t="n"/>
      <c r="G29" s="10" t="n"/>
      <c r="H29" s="99" t="n"/>
      <c r="I29" s="98" t="n"/>
      <c r="J29" s="99" t="n"/>
      <c r="K29" s="98" t="n"/>
      <c r="L29" s="26" t="n"/>
      <c r="M29" s="27" t="n"/>
      <c r="N29" s="26" t="n"/>
      <c r="O29" s="28" t="n"/>
      <c r="P29" s="97" t="n"/>
      <c r="Q29" s="98" t="n"/>
      <c r="R29" s="99" t="n"/>
      <c r="S29" s="98" t="n"/>
      <c r="T29" s="99" t="n"/>
      <c r="U29" s="98" t="n"/>
      <c r="V29" s="99" t="n"/>
      <c r="W29" s="98" t="n"/>
      <c r="X29" s="99" t="n"/>
      <c r="Y29" s="98" t="n"/>
      <c r="Z29" s="26" t="n"/>
      <c r="AA29" s="27" t="n"/>
      <c r="AB29" s="26" t="n"/>
      <c r="AC29" s="28" t="n"/>
      <c r="AD29" s="97" t="n"/>
      <c r="AE29" s="98" t="n"/>
      <c r="AF29" s="99" t="n"/>
      <c r="AG29" s="98" t="n"/>
      <c r="AH29" s="99" t="n"/>
      <c r="AI29" s="98" t="n"/>
      <c r="AJ29" s="99" t="n"/>
      <c r="AK29" s="98" t="n"/>
      <c r="AL29" s="99" t="n"/>
      <c r="AM29" s="98" t="n"/>
      <c r="AN29" s="26" t="n"/>
      <c r="AO29" s="27" t="n"/>
      <c r="AP29" s="26" t="n"/>
      <c r="AQ29" s="28" t="n"/>
      <c r="AR29" s="97" t="n"/>
      <c r="AS29" s="98" t="n"/>
      <c r="AT29" s="99" t="n"/>
      <c r="AU29" s="98" t="n"/>
      <c r="AV29" s="99" t="n"/>
      <c r="AW29" s="98" t="n"/>
      <c r="AX29" s="99" t="n"/>
      <c r="AY29" s="98" t="n"/>
      <c r="AZ29" s="99" t="n"/>
      <c r="BA29" s="98" t="n"/>
      <c r="BB29" s="26" t="n"/>
      <c r="BC29" s="27" t="n"/>
      <c r="BD29" s="26" t="n"/>
      <c r="BE29" s="28" t="n"/>
      <c r="BF29" s="97" t="n"/>
      <c r="BG29" s="98" t="n"/>
      <c r="BH29" s="99" t="n"/>
      <c r="BI29" s="98" t="n"/>
      <c r="BJ29" s="99" t="n"/>
      <c r="BK29" s="98" t="n"/>
      <c r="BL29" s="99" t="n"/>
      <c r="BM29" s="98" t="n"/>
      <c r="BN29" s="99" t="n"/>
      <c r="BO29" s="98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3" t="n"/>
      <c r="BM30" s="92" t="n"/>
      <c r="BN30" s="93" t="n"/>
      <c r="BO30" s="92" t="n"/>
      <c r="BP30" s="26" t="n"/>
      <c r="BQ30" s="27" t="n"/>
      <c r="BR30" s="26" t="n"/>
      <c r="BS30" s="28" t="n"/>
    </row>
    <row r="31" hidden="1">
      <c r="A31" s="122" t="inlineStr">
        <is>
          <t xml:space="preserve">  CKW-Kran Fiore ab KW31 HOCH (Berg) - CKW stoppt IP Tal 4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214" t="n"/>
      <c r="Q31" s="215" t="n"/>
      <c r="R31" s="216" t="n"/>
      <c r="S31" s="215" t="n"/>
      <c r="T31" s="216" t="n"/>
      <c r="U31" s="215" t="n"/>
      <c r="V31" s="216" t="n"/>
      <c r="W31" s="215" t="n"/>
      <c r="X31" s="216" t="n"/>
      <c r="Y31" s="215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 hidden="1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KW30: 26_1.4/1.5/3.2/3.1 FERTIG bis Di 21.07. abend | Mi 22.07. die 3 PZ2025-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Prioritaeten (CKW) | Do 23.07. Wechsel in 26_2.1. Ist-Leistung 2.5 Tische/Tag.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8  (2.1 + 2.2, 100 Stk) - zugesagt 27.07.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inlineStr">
        <is>
          <t>X</t>
        </is>
      </c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9  (4.1, inkl. Batch 10) - Liefertermin OFFEN -&gt; nachhalten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11 (28 Tische, best. 15.07.) - Liefertermin OFFEN -&gt; nachhalten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9" t="n"/>
      <c r="AG39" s="10" t="n"/>
      <c r="AH39" s="128" t="inlineStr">
        <is>
          <t>X</t>
        </is>
      </c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Schrauben Bestellbatch 3 MUSS RAUS - Termin 01.08. (= Samstag)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inlineStr">
        <is>
          <t>X</t>
        </is>
      </c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Bestellbatch 12 Stahlbau - muss bis 17.08. angekommen sein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inlineStr">
        <is>
          <t>X</t>
        </is>
      </c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n"/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26_1.4/1.5/3.2/3.1 -&gt; FERTIG bis Di 21.07. ABEND (Mo: 3.1 + 1.5 montiert)</t>
        </is>
      </c>
      <c r="B44" s="100" t="n"/>
      <c r="C44" s="101" t="n"/>
      <c r="D44" s="102" t="n"/>
      <c r="E44" s="101" t="n"/>
      <c r="F44" s="9" t="n"/>
      <c r="G44" s="10" t="n"/>
      <c r="H44" s="9" t="n"/>
      <c r="I44" s="10" t="n"/>
      <c r="J44" s="9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PZ2025 PRIO 1  (1625, 486, 485)                      -&gt; CKW</t>
        </is>
      </c>
      <c r="B45" s="32" t="n"/>
      <c r="C45" s="31" t="n"/>
      <c r="D45" s="9" t="n"/>
      <c r="E45" s="10" t="n"/>
      <c r="F45" s="151" t="n"/>
      <c r="G45" s="152" t="n"/>
      <c r="H45" s="151" t="n"/>
      <c r="I45" s="152" t="n"/>
      <c r="J45" s="9" t="n"/>
      <c r="K45" s="10" t="n"/>
      <c r="L45" s="33" t="n"/>
      <c r="M45" s="34" t="n"/>
      <c r="N45" s="33" t="n"/>
      <c r="O45" s="34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PZ2025 PRIO 2  (415, 412, 390)                       -&gt; CKW</t>
        </is>
      </c>
      <c r="B46" s="32" t="n"/>
      <c r="C46" s="31" t="n"/>
      <c r="D46" s="9" t="n"/>
      <c r="E46" s="10" t="n"/>
      <c r="F46" s="151" t="n"/>
      <c r="G46" s="152" t="n"/>
      <c r="H46" s="151" t="n"/>
      <c r="I46" s="152" t="n"/>
      <c r="J46" s="9" t="n"/>
      <c r="K46" s="10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PZ2025 PRIO 3  (1623, ...)                           -&gt; CKW</t>
        </is>
      </c>
      <c r="B47" s="32" t="n"/>
      <c r="C47" s="31" t="n"/>
      <c r="D47" s="9" t="n"/>
      <c r="E47" s="10" t="n"/>
      <c r="F47" s="151" t="n"/>
      <c r="G47" s="152" t="n"/>
      <c r="H47" s="151" t="n"/>
      <c r="I47" s="152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  26_2.1 + 26_2.2  -&gt;  Start Do 23.07. (Stapel 45 frueh runter)</t>
        </is>
      </c>
      <c r="B48" s="32" t="n"/>
      <c r="C48" s="31" t="n"/>
      <c r="D48" s="9" t="n"/>
      <c r="E48" s="10" t="n"/>
      <c r="F48" s="9" t="n"/>
      <c r="G48" s="10" t="n"/>
      <c r="H48" s="135" t="n"/>
      <c r="I48" s="136" t="n"/>
      <c r="J48" s="135" t="n"/>
      <c r="K48" s="136" t="n"/>
      <c r="L48" s="33" t="n"/>
      <c r="M48" s="34" t="n"/>
      <c r="N48" s="33" t="n"/>
      <c r="O48" s="35" t="n"/>
      <c r="P48" s="137" t="n"/>
      <c r="Q48" s="136" t="n"/>
      <c r="R48" s="135" t="n"/>
      <c r="S48" s="136" t="n"/>
      <c r="T48" s="135" t="n"/>
      <c r="U48" s="136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STAMMTEAM FREI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138" t="n"/>
      <c r="W49" s="139" t="n"/>
      <c r="X49" s="138" t="n"/>
      <c r="Y49" s="139" t="n"/>
      <c r="Z49" s="140" t="n"/>
      <c r="AA49" s="141" t="n"/>
      <c r="AB49" s="140" t="n"/>
      <c r="AC49" s="142" t="n"/>
      <c r="AD49" s="138" t="n"/>
      <c r="AE49" s="139" t="n"/>
      <c r="AF49" s="138" t="n"/>
      <c r="AG49" s="139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>
      <c r="A50" s="127" t="inlineStr">
        <is>
          <t xml:space="preserve">    ERSATZTEAM: 26_2.1 / 2.2 durchziehen - ohne Unterbruch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135" t="n"/>
      <c r="W50" s="136" t="n"/>
      <c r="X50" s="135" t="n"/>
      <c r="Y50" s="136" t="n"/>
      <c r="Z50" s="143" t="n"/>
      <c r="AA50" s="144" t="n"/>
      <c r="AB50" s="143" t="n"/>
      <c r="AC50" s="145" t="n"/>
      <c r="AD50" s="137" t="n"/>
      <c r="AE50" s="136" t="n"/>
      <c r="AF50" s="135" t="n"/>
      <c r="AG50" s="136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  26_2.1 + 26_2.2 FERTIG  -&gt;  bis Mi 05.08. (KW32)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135" t="n"/>
      <c r="AI51" s="136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  8 Tische geaenderte Hoehen  26_1.1 / 1.2 / 1.3  - ab Do 06.08.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135" t="n"/>
      <c r="AK52" s="136" t="n"/>
      <c r="AL52" s="135" t="n"/>
      <c r="AM52" s="136" t="n"/>
      <c r="AN52" s="33" t="n"/>
      <c r="AO52" s="34" t="n"/>
      <c r="AP52" s="33" t="n"/>
      <c r="AQ52" s="35" t="n"/>
      <c r="AR52" s="137" t="n"/>
      <c r="AS52" s="136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  Baupiste B2 / Etappe 2 (9 T.) - Passstuecke muessen da sein!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135" t="n"/>
      <c r="AU53" s="136" t="n"/>
      <c r="AV53" s="135" t="n"/>
      <c r="AW53" s="136" t="n"/>
      <c r="AX53" s="135" t="n"/>
      <c r="AY53" s="136" t="n"/>
      <c r="AZ53" s="135" t="n"/>
      <c r="BA53" s="136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26_4.1 - Reserve KW34, nur wenn Batch 9 rechtzeitig da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137" t="n"/>
      <c r="BG54" s="136" t="n"/>
      <c r="BH54" s="135" t="n"/>
      <c r="BI54" s="136" t="n"/>
      <c r="BJ54" s="135" t="n"/>
      <c r="BK54" s="136" t="n"/>
      <c r="BL54" s="135" t="n"/>
      <c r="BM54" s="136" t="n"/>
      <c r="BN54" s="135" t="n"/>
      <c r="BO54" s="136" t="n"/>
      <c r="BP54" s="33" t="n"/>
      <c r="BQ54" s="34" t="n"/>
      <c r="BR54" s="33" t="n"/>
      <c r="BS54" s="35" t="n"/>
    </row>
    <row r="55">
      <c r="A55" s="127" t="inlineStr">
        <is>
          <t xml:space="preserve">    Stapel 36 -&gt; 26_2.1 folgt | Reserve: Rest 26_2.2 falls 05.08. nicht erreicht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26_2.1 + 26_2.2 komplett - bis Fr 24.07. montiert UND QM-bestaetigt</t>
        </is>
      </c>
      <c r="B57" s="103" t="n"/>
      <c r="C57" s="104" t="n"/>
      <c r="D57" s="105" t="n"/>
      <c r="E57" s="104" t="n"/>
      <c r="F57" s="105" t="n"/>
      <c r="G57" s="104" t="n"/>
      <c r="H57" s="105" t="n"/>
      <c r="I57" s="104" t="n"/>
      <c r="J57" s="105" t="n"/>
      <c r="K57" s="104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26_4.3  (nach Injektion) + fehlende Pfaehle setzen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103" t="n"/>
      <c r="Q58" s="104" t="n"/>
      <c r="R58" s="105" t="n"/>
      <c r="S58" s="104" t="n"/>
      <c r="T58" s="105" t="n"/>
      <c r="U58" s="104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26_1.6 / 26_5.2  (nach Injektion)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105" t="n"/>
      <c r="AS59" s="104" t="n"/>
      <c r="AT59" s="105" t="n"/>
      <c r="AU59" s="104" t="n"/>
      <c r="AV59" s="105" t="n"/>
      <c r="AW59" s="104" t="n"/>
      <c r="AX59" s="105" t="n"/>
      <c r="AY59" s="104" t="n"/>
      <c r="AZ59" s="105" t="n"/>
      <c r="BA59" s="104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26_4.4 / 26_4.5  (nach Injektion)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0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103" t="n"/>
      <c r="BG60" s="104" t="n"/>
      <c r="BH60" s="105" t="n"/>
      <c r="BI60" s="104" t="n"/>
      <c r="BJ60" s="105" t="n"/>
      <c r="BK60" s="104" t="n"/>
      <c r="BL60" s="105" t="n"/>
      <c r="BM60" s="104" t="n"/>
      <c r="BN60" s="105" t="n"/>
      <c r="BO60" s="104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39 / 42 / 43 / 44 (+ Teile 45) -&gt; 26_3.1</t>
        </is>
      </c>
      <c r="B63" s="32" t="n"/>
      <c r="C63" s="31" t="n"/>
      <c r="D63" s="9" t="n"/>
      <c r="E63" s="10" t="n"/>
      <c r="F63" s="9" t="n"/>
      <c r="G63" s="10" t="n"/>
      <c r="H63" s="108" t="n"/>
      <c r="I63" s="107" t="n"/>
      <c r="J63" s="108" t="n"/>
      <c r="K63" s="107" t="n"/>
      <c r="L63" s="33" t="n"/>
      <c r="M63" s="34" t="n"/>
      <c r="N63" s="33" t="n"/>
      <c r="O63" s="35" t="n"/>
      <c r="P63" s="106" t="n"/>
      <c r="Q63" s="107" t="n"/>
      <c r="R63" s="108" t="n"/>
      <c r="S63" s="107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45 -&gt; 26_2.1  (letzte Traeger heute Mi, Stapel Do 23.07. frueh runter)</t>
        </is>
      </c>
      <c r="B64" s="32" t="n"/>
      <c r="C64" s="31" t="n"/>
      <c r="D64" s="9" t="n"/>
      <c r="E64" s="10" t="n"/>
      <c r="F64" s="153" t="n"/>
      <c r="G64" s="154" t="n"/>
      <c r="H64" s="153" t="n"/>
      <c r="I64" s="154" t="n"/>
      <c r="J64" s="9" t="n"/>
      <c r="K64" s="10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46 + 47 -&gt; 26_2.2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146" t="n"/>
      <c r="AI65" s="147" t="n"/>
      <c r="AJ65" s="146" t="n"/>
      <c r="AK65" s="147" t="n"/>
      <c r="AL65" s="146" t="n"/>
      <c r="AM65" s="147" t="n"/>
      <c r="AN65" s="33" t="n"/>
      <c r="AO65" s="34" t="n"/>
      <c r="AP65" s="33" t="n"/>
      <c r="AQ65" s="35" t="n"/>
      <c r="AR65" s="148" t="n"/>
      <c r="AS65" s="147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 (Camatex NUR KW30 + KW31!)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08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Kalibrierung Strang C: TG bis Schacht C5 (Rest)</t>
        </is>
      </c>
      <c r="B69" s="109" t="n"/>
      <c r="C69" s="110" t="n"/>
      <c r="D69" s="9" t="n"/>
      <c r="E69" s="10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Graben 26_1.6 geschlossen - ERLEDIGT Mo 20.07. (Bohrflaeche frei)</t>
        </is>
      </c>
      <c r="B70" s="119" t="n"/>
      <c r="C70" s="120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FV B1 Schacht -&gt; 26_1.6 weiterfuehren</t>
        </is>
      </c>
      <c r="B71" s="32" t="n"/>
      <c r="C71" s="31" t="n"/>
      <c r="D71" s="9" t="n"/>
      <c r="E71" s="10" t="n"/>
      <c r="F71" s="111" t="n"/>
      <c r="G71" s="110" t="n"/>
      <c r="H71" s="111" t="n"/>
      <c r="I71" s="110" t="n"/>
      <c r="J71" s="111" t="n"/>
      <c r="K71" s="110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Baupiste Etappe 2: Rasenziegel - Mo begonnen, Di fertig</t>
        </is>
      </c>
      <c r="B72" s="109" t="n"/>
      <c r="C72" s="110" t="n"/>
      <c r="D72" s="111" t="n"/>
      <c r="E72" s="1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FV Strang C: C5 unten  (Start Di 21.07.)</t>
        </is>
      </c>
      <c r="B73" s="32" t="n"/>
      <c r="C73" s="31" t="n"/>
      <c r="D73" s="9" t="n"/>
      <c r="E73" s="110" t="n"/>
      <c r="F73" s="111" t="n"/>
      <c r="G73" s="1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FV Strang C: C4 unten  (+ Rohre / Erdung)</t>
        </is>
      </c>
      <c r="B74" s="32" t="n"/>
      <c r="C74" s="31" t="n"/>
      <c r="D74" s="9" t="n"/>
      <c r="E74" s="10" t="n"/>
      <c r="F74" s="9" t="n"/>
      <c r="G74" s="10" t="n"/>
      <c r="H74" s="111" t="n"/>
      <c r="I74" s="1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FV Strang C: C3 / C2 unten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111" t="n"/>
      <c r="K75" s="110" t="n"/>
      <c r="L75" s="33" t="n"/>
      <c r="M75" s="34" t="n"/>
      <c r="N75" s="33" t="n"/>
      <c r="O75" s="35" t="n"/>
      <c r="P75" s="109" t="n"/>
      <c r="Q75" s="110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FV Strang C: C3 / C4 oben ab Schacht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111" t="n"/>
      <c r="S76" s="110" t="n"/>
      <c r="T76" s="111" t="n"/>
      <c r="U76" s="1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inlineStr">
        <is>
          <t xml:space="preserve">  FV Strang C: C5 / C2 oben  (Notfall: kleiner Bagger)</t>
        </is>
      </c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111" t="n"/>
      <c r="W77" s="110" t="n"/>
      <c r="X77" s="111" t="n"/>
      <c r="Y77" s="1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inlineStr">
        <is>
          <t xml:space="preserve">  Koordinatenaufnahme + Doku FV (Noel) - Aushub IMMER auf Geotextil</t>
        </is>
      </c>
      <c r="B78" s="32" t="n"/>
      <c r="C78" s="31" t="n"/>
      <c r="D78" s="111" t="n"/>
      <c r="E78" s="110" t="n"/>
      <c r="F78" s="111" t="n"/>
      <c r="G78" s="110" t="n"/>
      <c r="H78" s="111" t="n"/>
      <c r="I78" s="110" t="n"/>
      <c r="J78" s="111" t="n"/>
      <c r="K78" s="110" t="n"/>
      <c r="L78" s="33" t="n"/>
      <c r="M78" s="34" t="n"/>
      <c r="N78" s="33" t="n"/>
      <c r="O78" s="35" t="n"/>
      <c r="P78" s="109" t="n"/>
      <c r="Q78" s="110" t="n"/>
      <c r="R78" s="111" t="n"/>
      <c r="S78" s="110" t="n"/>
      <c r="T78" s="111" t="n"/>
      <c r="U78" s="110" t="n"/>
      <c r="V78" s="111" t="n"/>
      <c r="W78" s="110" t="n"/>
      <c r="X78" s="111" t="n"/>
      <c r="Y78" s="1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Graben bis Schacht D1 fertigstellen</t>
        </is>
      </c>
      <c r="B79" s="112" t="n"/>
      <c r="C79" s="113" t="n"/>
      <c r="D79" s="114" t="n"/>
      <c r="E79" s="113" t="n"/>
      <c r="F79" s="114" t="n"/>
      <c r="G79" s="113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Piste D  (Fabian Bissig erst ab KW32 zurueck)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112" t="n"/>
      <c r="AE80" s="113" t="n"/>
      <c r="AF80" s="114" t="n"/>
      <c r="AG80" s="113" t="n"/>
      <c r="AH80" s="114" t="n"/>
      <c r="AI80" s="113" t="n"/>
      <c r="AJ80" s="114" t="n"/>
      <c r="AK80" s="113" t="n"/>
      <c r="AL80" s="114" t="n"/>
      <c r="AM80" s="113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Schacht D1 + GAK C1.1 (Mauderli, best. 16.07., LZ 2-3 Wo) - Termin nachhalten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inlineStr">
        <is>
          <t>X?</t>
        </is>
      </c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Zustiegsleiter Kabelschacht hinter TG (Do nach Bausitzung)</t>
        </is>
      </c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inlineStr">
        <is>
          <t>X</t>
        </is>
      </c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Erschliessung Wetterstation: Leerrohre ab TG klaeren (Rueckmeldung offen)</t>
        </is>
      </c>
      <c r="B83" s="109" t="n"/>
      <c r="C83" s="110" t="n"/>
      <c r="D83" s="111" t="n"/>
      <c r="E83" s="110" t="n"/>
      <c r="F83" s="111" t="n"/>
      <c r="G83" s="1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Altlasten-Anker ausgraben / abtrennen (min. 0.5 m unter Terrain)</t>
        </is>
      </c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112" t="n"/>
      <c r="Q84" s="113" t="n"/>
      <c r="R84" s="114" t="n"/>
      <c r="S84" s="113" t="n"/>
      <c r="T84" s="114" t="n"/>
      <c r="U84" s="113" t="n"/>
      <c r="V84" s="114" t="n"/>
      <c r="W84" s="113" t="n"/>
      <c r="X84" s="114" t="n"/>
      <c r="Y84" s="113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inlineStr">
        <is>
          <t xml:space="preserve">  Bereiche Zug- / Ausziehversuche instandstellen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112" t="n"/>
      <c r="Q85" s="113" t="n"/>
      <c r="R85" s="114" t="n"/>
      <c r="S85" s="113" t="n"/>
      <c r="T85" s="114" t="n"/>
      <c r="U85" s="113" t="n"/>
      <c r="V85" s="114" t="n"/>
      <c r="W85" s="113" t="n"/>
      <c r="X85" s="133" t="n"/>
      <c r="Y85" s="113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Betonspur -&gt; September (ausserhalb 5-Wochen-Fenster)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   (Beton in KW30 NUR Mo 20. + Di 21.07.!)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Fundament Baupiste Etappe 2 erstellen</t>
        </is>
      </c>
      <c r="B89" s="112" t="n"/>
      <c r="C89" s="113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inlineStr">
        <is>
          <t xml:space="preserve">  Fundament 26_2.1 fertigstellen + ausschalen</t>
        </is>
      </c>
      <c r="B90" s="112" t="n"/>
      <c r="C90" s="113" t="n"/>
      <c r="D90" s="114" t="n"/>
      <c r="E90" s="113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inlineStr">
        <is>
          <t xml:space="preserve">  Fundament 26_4.1 fertigstellen + Einzelfundament ID 755 S4</t>
        </is>
      </c>
      <c r="B91" s="112" t="n"/>
      <c r="C91" s="113" t="n"/>
      <c r="D91" s="114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inlineStr">
        <is>
          <t xml:space="preserve">  ALLE Fundamente betonieren (Kaiser + Kuebel, ca. 10:00)</t>
        </is>
      </c>
      <c r="B92" s="32" t="n"/>
      <c r="C92" s="113" t="n"/>
      <c r="D92" s="114" t="n"/>
      <c r="E92" s="113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inlineStr">
        <is>
          <t xml:space="preserve">  Ausschalen + Material wegraeumen</t>
        </is>
      </c>
      <c r="B93" s="32" t="n"/>
      <c r="C93" s="31" t="n"/>
      <c r="D93" s="114" t="n"/>
      <c r="E93" s="113" t="n"/>
      <c r="F93" s="114" t="n"/>
      <c r="G93" s="113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raeumen + Ausbreitung zuruecksetzen / Baustellenordnung</t>
        </is>
      </c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8" t="n"/>
      <c r="M94" s="39" t="n"/>
      <c r="N94" s="38" t="n"/>
      <c r="O94" s="40" t="n"/>
      <c r="P94" s="112" t="n"/>
      <c r="Q94" s="113" t="n"/>
      <c r="R94" s="114" t="n"/>
      <c r="S94" s="113" t="n"/>
      <c r="T94" s="114" t="n"/>
      <c r="U94" s="113" t="n"/>
      <c r="V94" s="114" t="n"/>
      <c r="W94" s="113" t="n"/>
      <c r="X94" s="114" t="n"/>
      <c r="Y94" s="113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217" t="inlineStr">
        <is>
          <t xml:space="preserve">  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218" t="n"/>
      <c r="BM95" s="219" t="n"/>
      <c r="BN95" s="218" t="n"/>
      <c r="BO95" s="219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UBB-Rueckmeldung Begehung 16.07. einfordern (ueberfaellig)</t>
        </is>
      </c>
      <c r="B97" s="128" t="inlineStr">
        <is>
          <t>X</t>
        </is>
      </c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26_1.4 + 26_1.5 sofort auszaeunen (fertig Di abend)</t>
        </is>
      </c>
      <c r="B98" s="32" t="n"/>
      <c r="C98" s="31" t="n"/>
      <c r="D98" s="9" t="n"/>
      <c r="E98" s="10" t="n"/>
      <c r="F98" s="118" t="n"/>
      <c r="G98" s="117" t="n"/>
      <c r="H98" s="118" t="n"/>
      <c r="I98" s="117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Material auf Kantholz verbaut  -  FRIST 30.07.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inlineStr">
        <is>
          <t>X</t>
        </is>
      </c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Mock-up-Tische raus, Camatex zieht Stuetzen; Stuetzen ins Tal, Matratzen IP Berg</t>
        </is>
      </c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116" t="n"/>
      <c r="Q100" s="117" t="n"/>
      <c r="R100" s="118" t="n"/>
      <c r="S100" s="117" t="n"/>
      <c r="T100" s="118" t="n"/>
      <c r="U100" s="117" t="n"/>
      <c r="V100" s="118" t="n"/>
      <c r="W100" s="117" t="n"/>
      <c r="X100" s="118" t="n"/>
      <c r="Y100" s="117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Kleingebinde/Trichter in Auffangwanne, abends in Container IP Berg (laufend)</t>
        </is>
      </c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Loecher Bohrlafetten-Abstuetzung sofort flicken; Vegetation nach Ueberfahrt pruefen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Bodenzwischenlager Tal schneiden + Schnittgut abfuehren  -  FRIST 04.08.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inlineStr">
        <is>
          <t>X</t>
        </is>
      </c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27" t="inlineStr">
        <is>
          <t xml:space="preserve">  ADG-Termin Alpwuestungen 26_5.1 nachfassen (Wunschwoche 27.-31.07.)</t>
        </is>
      </c>
      <c r="B104" s="128" t="inlineStr">
        <is>
          <t>X</t>
        </is>
      </c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inlineStr">
        <is>
          <t xml:space="preserve">  Gewaesserraum 5.5 m an ILF fuer weitere Baupisten; Birkhuhn-Schild abbauen</t>
        </is>
      </c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171" t="n">
        <v>22</v>
      </c>
      <c r="C108" s="162" t="n"/>
      <c r="D108" s="161" t="n">
        <v>22</v>
      </c>
      <c r="E108" s="162" t="n"/>
      <c r="F108" s="161" t="n">
        <v>22</v>
      </c>
      <c r="G108" s="162" t="n"/>
      <c r="H108" s="161" t="n">
        <v>22</v>
      </c>
      <c r="I108" s="162" t="n"/>
      <c r="J108" s="161" t="n">
        <v>22</v>
      </c>
      <c r="K108" s="162" t="n"/>
      <c r="L108" s="161" t="n">
        <v>0</v>
      </c>
      <c r="M108" s="162" t="n"/>
      <c r="N108" s="161" t="n">
        <v>0</v>
      </c>
      <c r="O108" s="162" t="n"/>
      <c r="P108" s="171" t="n">
        <v>22</v>
      </c>
      <c r="Q108" s="162" t="n"/>
      <c r="R108" s="161" t="n">
        <v>22</v>
      </c>
      <c r="S108" s="162" t="n"/>
      <c r="T108" s="161" t="n">
        <v>22</v>
      </c>
      <c r="U108" s="162" t="n"/>
      <c r="V108" s="161" t="n">
        <v>22</v>
      </c>
      <c r="W108" s="162" t="n"/>
      <c r="X108" s="161" t="n">
        <v>22</v>
      </c>
      <c r="Y108" s="162" t="n"/>
      <c r="Z108" s="161" t="n">
        <v>0</v>
      </c>
      <c r="AA108" s="162" t="n"/>
      <c r="AB108" s="161" t="n">
        <v>0</v>
      </c>
      <c r="AC108" s="162" t="n"/>
      <c r="AD108" s="171" t="n">
        <v>22</v>
      </c>
      <c r="AE108" s="162" t="n"/>
      <c r="AF108" s="161" t="n">
        <v>22</v>
      </c>
      <c r="AG108" s="162" t="n"/>
      <c r="AH108" s="161" t="n">
        <v>22</v>
      </c>
      <c r="AI108" s="162" t="n"/>
      <c r="AJ108" s="161" t="n">
        <v>22</v>
      </c>
      <c r="AK108" s="162" t="n"/>
      <c r="AL108" s="161" t="n">
        <v>22</v>
      </c>
      <c r="AM108" s="162" t="n"/>
      <c r="AN108" s="161" t="n">
        <v>0</v>
      </c>
      <c r="AO108" s="162" t="n"/>
      <c r="AP108" s="161" t="n">
        <v>0</v>
      </c>
      <c r="AQ108" s="162" t="n"/>
      <c r="AR108" s="171" t="n">
        <v>22</v>
      </c>
      <c r="AS108" s="162" t="n"/>
      <c r="AT108" s="161" t="n">
        <v>22</v>
      </c>
      <c r="AU108" s="162" t="n"/>
      <c r="AV108" s="161" t="n">
        <v>22</v>
      </c>
      <c r="AW108" s="162" t="n"/>
      <c r="AX108" s="161" t="n">
        <v>22</v>
      </c>
      <c r="AY108" s="162" t="n"/>
      <c r="AZ108" s="161" t="n">
        <v>22</v>
      </c>
      <c r="BA108" s="162" t="n"/>
      <c r="BB108" s="161" t="n">
        <v>0</v>
      </c>
      <c r="BC108" s="162" t="n"/>
      <c r="BD108" s="161" t="n">
        <v>0</v>
      </c>
      <c r="BE108" s="162" t="n"/>
      <c r="BF108" s="171" t="n">
        <v>22</v>
      </c>
      <c r="BG108" s="162" t="n"/>
      <c r="BH108" s="161" t="n">
        <v>22</v>
      </c>
      <c r="BI108" s="162" t="n"/>
      <c r="BJ108" s="161" t="n">
        <v>22</v>
      </c>
      <c r="BK108" s="162" t="n"/>
      <c r="BL108" s="161" t="n">
        <v>22</v>
      </c>
      <c r="BM108" s="162" t="n"/>
      <c r="BN108" s="161" t="n">
        <v>22</v>
      </c>
      <c r="BO108" s="162" t="n"/>
      <c r="BP108" s="161" t="n">
        <v>0</v>
      </c>
      <c r="BQ108" s="162" t="n"/>
      <c r="BR108" s="161" t="n">
        <v>0</v>
      </c>
      <c r="BS108" s="162" t="n"/>
    </row>
    <row r="109" ht="12.75" customHeight="1">
      <c r="A109" s="17" t="inlineStr">
        <is>
          <t>Bemerkungen</t>
        </is>
      </c>
      <c r="B109" s="176" t="n"/>
      <c r="C109" s="166" t="n"/>
      <c r="D109" s="166" t="n"/>
      <c r="E109" s="166" t="n"/>
      <c r="F109" s="166" t="n"/>
      <c r="G109" s="166" t="n"/>
      <c r="H109" s="166" t="n"/>
      <c r="I109" s="166" t="n"/>
      <c r="J109" s="166" t="n"/>
      <c r="K109" s="166" t="n"/>
      <c r="L109" s="166" t="n"/>
      <c r="M109" s="166" t="n"/>
      <c r="N109" s="166" t="n"/>
      <c r="O109" s="177" t="n"/>
      <c r="P109" s="176" t="n"/>
      <c r="Q109" s="166" t="n"/>
      <c r="R109" s="166" t="n"/>
      <c r="S109" s="166" t="n"/>
      <c r="T109" s="166" t="n"/>
      <c r="U109" s="166" t="n"/>
      <c r="V109" s="166" t="n"/>
      <c r="W109" s="166" t="n"/>
      <c r="X109" s="166" t="n"/>
      <c r="Y109" s="166" t="n"/>
      <c r="Z109" s="166" t="n"/>
      <c r="AA109" s="166" t="n"/>
      <c r="AB109" s="166" t="n"/>
      <c r="AC109" s="177" t="n"/>
      <c r="AD109" s="176" t="n"/>
      <c r="AE109" s="166" t="n"/>
      <c r="AF109" s="166" t="n"/>
      <c r="AG109" s="166" t="n"/>
      <c r="AH109" s="166" t="n"/>
      <c r="AI109" s="166" t="n"/>
      <c r="AJ109" s="166" t="n"/>
      <c r="AK109" s="166" t="n"/>
      <c r="AL109" s="166" t="n"/>
      <c r="AM109" s="166" t="n"/>
      <c r="AN109" s="166" t="n"/>
      <c r="AO109" s="166" t="n"/>
      <c r="AP109" s="166" t="n"/>
      <c r="AQ109" s="177" t="n"/>
      <c r="AR109" s="176" t="n"/>
      <c r="AS109" s="166" t="n"/>
      <c r="AT109" s="166" t="n"/>
      <c r="AU109" s="166" t="n"/>
      <c r="AV109" s="166" t="n"/>
      <c r="AW109" s="166" t="n"/>
      <c r="AX109" s="166" t="n"/>
      <c r="AY109" s="166" t="n"/>
      <c r="AZ109" s="166" t="n"/>
      <c r="BA109" s="166" t="n"/>
      <c r="BB109" s="166" t="n"/>
      <c r="BC109" s="166" t="n"/>
      <c r="BD109" s="166" t="n"/>
      <c r="BE109" s="177" t="n"/>
      <c r="BF109" s="176" t="n"/>
      <c r="BG109" s="166" t="n"/>
      <c r="BH109" s="166" t="n"/>
      <c r="BI109" s="166" t="n"/>
      <c r="BJ109" s="166" t="n"/>
      <c r="BK109" s="166" t="n"/>
      <c r="BL109" s="166" t="n"/>
      <c r="BM109" s="166" t="n"/>
      <c r="BN109" s="166" t="n"/>
      <c r="BO109" s="166" t="n"/>
      <c r="BP109" s="166" t="n"/>
      <c r="BQ109" s="166" t="n"/>
      <c r="BR109" s="166" t="n"/>
      <c r="BS109" s="177" t="n"/>
    </row>
    <row r="110" ht="12.75" customHeight="1">
      <c r="A110" s="195" t="n"/>
      <c r="B110" s="178" t="inlineStr">
        <is>
      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      </is>
      </c>
      <c r="C110" s="179" t="n"/>
      <c r="D110" s="179" t="n"/>
      <c r="E110" s="179" t="n"/>
      <c r="F110" s="179" t="n"/>
      <c r="G110" s="179" t="n"/>
      <c r="H110" s="179" t="n"/>
      <c r="I110" s="179" t="n"/>
      <c r="J110" s="179" t="n"/>
      <c r="K110" s="179" t="n"/>
      <c r="L110" s="179" t="n"/>
      <c r="M110" s="179" t="n"/>
      <c r="N110" s="179" t="n"/>
      <c r="O110" s="180" t="n"/>
      <c r="P110" s="178" t="inlineStr">
        <is>
      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      </is>
      </c>
      <c r="Q110" s="179" t="n"/>
      <c r="R110" s="179" t="n"/>
      <c r="S110" s="179" t="n"/>
      <c r="T110" s="179" t="n"/>
      <c r="U110" s="179" t="n"/>
      <c r="V110" s="179" t="n"/>
      <c r="W110" s="179" t="n"/>
      <c r="X110" s="179" t="n"/>
      <c r="Y110" s="179" t="n"/>
      <c r="Z110" s="179" t="n"/>
      <c r="AA110" s="179" t="n"/>
      <c r="AB110" s="179" t="n"/>
      <c r="AC110" s="180" t="n"/>
      <c r="AD110" s="178" t="inlineStr">
        <is>
          <t>Neuer Euromac ab 01.08. - ERSETZT den alten Muk,
es bleibt bei 2 Bohrgruppen
01.08.: Schrauben-Bestellbatch 3 raus
Alexander Ferien 03.-14.08. | Luka Ferien
Stahlbau: 2.1 + 2.2 fertig bis Mi 05.08.,
danach falsche Hoehen 1.1/1.2/1.3</t>
        </is>
      </c>
      <c r="AE110" s="179" t="n"/>
      <c r="AF110" s="179" t="n"/>
      <c r="AG110" s="179" t="n"/>
      <c r="AH110" s="179" t="n"/>
      <c r="AI110" s="179" t="n"/>
      <c r="AJ110" s="179" t="n"/>
      <c r="AK110" s="179" t="n"/>
      <c r="AL110" s="179" t="n"/>
      <c r="AM110" s="179" t="n"/>
      <c r="AN110" s="179" t="n"/>
      <c r="AO110" s="179" t="n"/>
      <c r="AP110" s="179" t="n"/>
      <c r="AQ110" s="180" t="n"/>
      <c r="AR110" s="178" t="inlineStr">
        <is>
          <t>Alexander + Luka Ferien
Schacht D1 / GAK C1.1 Lieferung Mauderli</t>
        </is>
      </c>
      <c r="AS110" s="179" t="n"/>
      <c r="AT110" s="179" t="n"/>
      <c r="AU110" s="179" t="n"/>
      <c r="AV110" s="179" t="n"/>
      <c r="AW110" s="179" t="n"/>
      <c r="AX110" s="179" t="n"/>
      <c r="AY110" s="179" t="n"/>
      <c r="AZ110" s="179" t="n"/>
      <c r="BA110" s="179" t="n"/>
      <c r="BB110" s="179" t="n"/>
      <c r="BC110" s="179" t="n"/>
      <c r="BD110" s="179" t="n"/>
      <c r="BE110" s="180" t="n"/>
      <c r="BF110" s="178" t="inlineStr">
        <is>
          <t>Jorge Ferien 17.-21.08.
Bestellbatch 12 muss bis 17.08. da sein
Fr 21.08. mittags: PIZZAESSEN mit dem Team
Bohren 26_5.3 laeuft in KW35 weiter
26_5.4 (89 Stz) startet erst KW35</t>
        </is>
      </c>
      <c r="BG110" s="179" t="n"/>
      <c r="BH110" s="179" t="n"/>
      <c r="BI110" s="179" t="n"/>
      <c r="BJ110" s="179" t="n"/>
      <c r="BK110" s="179" t="n"/>
      <c r="BL110" s="179" t="n"/>
      <c r="BM110" s="179" t="n"/>
      <c r="BN110" s="179" t="n"/>
      <c r="BO110" s="179" t="n"/>
      <c r="BP110" s="179" t="n"/>
      <c r="BQ110" s="179" t="n"/>
      <c r="BR110" s="179" t="n"/>
      <c r="BS110" s="180" t="n"/>
    </row>
    <row r="111">
      <c r="A111" s="196" t="n"/>
      <c r="B111" s="181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M111" s="182" t="n"/>
      <c r="N111" s="182" t="n"/>
      <c r="O111" s="183" t="n"/>
      <c r="P111" s="181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3" t="n"/>
      <c r="AD111" s="181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3" t="n"/>
      <c r="AR111" s="181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3" t="n"/>
      <c r="BF111" s="181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3" t="n"/>
    </row>
    <row r="112">
      <c r="A112" s="196" t="n"/>
      <c r="B112" s="181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M112" s="182" t="n"/>
      <c r="N112" s="182" t="n"/>
      <c r="O112" s="183" t="n"/>
      <c r="P112" s="181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3" t="n"/>
      <c r="AD112" s="181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3" t="n"/>
      <c r="AR112" s="181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3" t="n"/>
      <c r="BF112" s="181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3" t="n"/>
    </row>
    <row r="113">
      <c r="A113" s="196" t="n"/>
      <c r="B113" s="181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M113" s="182" t="n"/>
      <c r="N113" s="182" t="n"/>
      <c r="O113" s="183" t="n"/>
      <c r="P113" s="181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3" t="n"/>
      <c r="AD113" s="181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3" t="n"/>
      <c r="AR113" s="181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3" t="n"/>
      <c r="BF113" s="181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3" t="n"/>
    </row>
    <row r="114">
      <c r="A114" s="196" t="n"/>
      <c r="B114" s="181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M114" s="182" t="n"/>
      <c r="N114" s="182" t="n"/>
      <c r="O114" s="183" t="n"/>
      <c r="P114" s="181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3" t="n"/>
      <c r="AD114" s="181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3" t="n"/>
      <c r="AR114" s="181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3" t="n"/>
      <c r="BF114" s="181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3" t="n"/>
    </row>
    <row r="115">
      <c r="A115" s="196" t="n"/>
      <c r="B115" s="181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M115" s="182" t="n"/>
      <c r="N115" s="182" t="n"/>
      <c r="O115" s="183" t="n"/>
      <c r="P115" s="181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3" t="n"/>
      <c r="AD115" s="181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3" t="n"/>
      <c r="AR115" s="181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3" t="n"/>
      <c r="BF115" s="181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3" t="n"/>
    </row>
    <row r="116" ht="13.5" customHeight="1" thickBot="1">
      <c r="A116" s="197" t="n"/>
      <c r="B116" s="184" t="n"/>
      <c r="C116" s="185" t="n"/>
      <c r="D116" s="185" t="n"/>
      <c r="E116" s="185" t="n"/>
      <c r="F116" s="185" t="n"/>
      <c r="G116" s="185" t="n"/>
      <c r="H116" s="185" t="n"/>
      <c r="I116" s="185" t="n"/>
      <c r="J116" s="185" t="n"/>
      <c r="K116" s="185" t="n"/>
      <c r="L116" s="185" t="n"/>
      <c r="M116" s="185" t="n"/>
      <c r="N116" s="185" t="n"/>
      <c r="O116" s="186" t="n"/>
      <c r="P116" s="184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  <c r="AA116" s="185" t="n"/>
      <c r="AB116" s="185" t="n"/>
      <c r="AC116" s="186" t="n"/>
      <c r="AD116" s="184" t="n"/>
      <c r="AE116" s="185" t="n"/>
      <c r="AF116" s="185" t="n"/>
      <c r="AG116" s="185" t="n"/>
      <c r="AH116" s="185" t="n"/>
      <c r="AI116" s="185" t="n"/>
      <c r="AJ116" s="185" t="n"/>
      <c r="AK116" s="185" t="n"/>
      <c r="AL116" s="185" t="n"/>
      <c r="AM116" s="185" t="n"/>
      <c r="AN116" s="185" t="n"/>
      <c r="AO116" s="185" t="n"/>
      <c r="AP116" s="185" t="n"/>
      <c r="AQ116" s="186" t="n"/>
      <c r="AR116" s="184" t="n"/>
      <c r="AS116" s="185" t="n"/>
      <c r="AT116" s="185" t="n"/>
      <c r="AU116" s="185" t="n"/>
      <c r="AV116" s="185" t="n"/>
      <c r="AW116" s="185" t="n"/>
      <c r="AX116" s="185" t="n"/>
      <c r="AY116" s="185" t="n"/>
      <c r="AZ116" s="185" t="n"/>
      <c r="BA116" s="185" t="n"/>
      <c r="BB116" s="185" t="n"/>
      <c r="BC116" s="185" t="n"/>
      <c r="BD116" s="185" t="n"/>
      <c r="BE116" s="186" t="n"/>
      <c r="BF116" s="184" t="n"/>
      <c r="BG116" s="185" t="n"/>
      <c r="BH116" s="185" t="n"/>
      <c r="BI116" s="185" t="n"/>
      <c r="BJ116" s="185" t="n"/>
      <c r="BK116" s="185" t="n"/>
      <c r="BL116" s="185" t="n"/>
      <c r="BM116" s="185" t="n"/>
      <c r="BN116" s="185" t="n"/>
      <c r="BO116" s="185" t="n"/>
      <c r="BP116" s="185" t="n"/>
      <c r="BQ116" s="185" t="n"/>
      <c r="BR116" s="185" t="n"/>
      <c r="BS116" s="186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N4:O4"/>
    <mergeCell ref="AV4:AW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AX5:AY5"/>
    <mergeCell ref="P5:Q5"/>
    <mergeCell ref="R5:S5"/>
    <mergeCell ref="B4:C4"/>
    <mergeCell ref="BR5:BS5"/>
    <mergeCell ref="L108:M108"/>
    <mergeCell ref="AR3:BE3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3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Tabelle21">
    <outlinePr summaryBelow="1" summaryRight="1"/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199" t="inlineStr">
        <is>
          <t>5-Wochenprogramm</t>
        </is>
      </c>
      <c r="B1" s="202" t="n">
        <v>46160</v>
      </c>
      <c r="C1" s="190" t="n"/>
      <c r="D1" s="190" t="n"/>
      <c r="E1" s="190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168" t="inlineStr">
        <is>
          <t>RKDO NalpSolar</t>
        </is>
      </c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91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69" t="n"/>
      <c r="AQ1" s="169" t="n"/>
      <c r="AR1" s="191" t="n"/>
      <c r="AS1" s="169" t="n"/>
      <c r="AT1" s="169" t="n"/>
      <c r="AU1" s="169" t="n"/>
      <c r="AV1" s="169" t="n"/>
      <c r="AW1" s="169" t="n"/>
      <c r="AX1" s="169" t="n"/>
      <c r="AY1" s="169" t="n"/>
      <c r="AZ1" s="169" t="n"/>
      <c r="BA1" s="169" t="n"/>
      <c r="BB1" s="169" t="n"/>
      <c r="BC1" s="169" t="n"/>
      <c r="BD1" s="169" t="n"/>
      <c r="BE1" s="169" t="n"/>
      <c r="BF1" s="192" t="n"/>
      <c r="BG1" s="169" t="n"/>
      <c r="BH1" s="169" t="n"/>
      <c r="BI1" s="169" t="n"/>
      <c r="BJ1" s="169" t="n"/>
      <c r="BK1" s="169" t="n"/>
      <c r="BL1" s="169" t="n"/>
      <c r="BM1" s="169" t="n"/>
      <c r="BN1" s="169" t="n"/>
      <c r="BO1" s="169" t="n"/>
      <c r="BP1" s="169" t="n"/>
      <c r="BQ1" s="169" t="n"/>
      <c r="BR1" s="169" t="n"/>
      <c r="BS1" s="193" t="n"/>
    </row>
    <row r="2" ht="13.5" customHeight="1" thickBot="1">
      <c r="A2" s="200" t="n"/>
      <c r="B2" s="185" t="n"/>
      <c r="C2" s="185" t="n"/>
      <c r="D2" s="185" t="n"/>
      <c r="E2" s="185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172" t="inlineStr">
        <is>
          <t>Samuel Decurtins</t>
        </is>
      </c>
      <c r="Q2" s="173" t="n"/>
      <c r="R2" s="173" t="n"/>
      <c r="S2" s="173" t="n"/>
      <c r="T2" s="173" t="n"/>
      <c r="U2" s="173" t="n"/>
      <c r="V2" s="173" t="n"/>
      <c r="W2" s="173" t="n"/>
      <c r="X2" s="173" t="n"/>
      <c r="Y2" s="173" t="n"/>
      <c r="Z2" s="173" t="n"/>
      <c r="AA2" s="173" t="n"/>
      <c r="AB2" s="173" t="n"/>
      <c r="AC2" s="173" t="n"/>
      <c r="AD2" s="173" t="n"/>
      <c r="AE2" s="173" t="n"/>
      <c r="AF2" s="173" t="n"/>
      <c r="AG2" s="173" t="n"/>
      <c r="AH2" s="173" t="n"/>
      <c r="AI2" s="173" t="n"/>
      <c r="AJ2" s="173" t="n"/>
      <c r="AK2" s="173" t="n"/>
      <c r="AL2" s="173" t="n"/>
      <c r="AM2" s="173" t="n"/>
      <c r="AN2" s="173" t="n"/>
      <c r="AO2" s="173" t="n"/>
      <c r="AP2" s="173" t="n"/>
      <c r="AQ2" s="173" t="n"/>
      <c r="AR2" s="173" t="n"/>
      <c r="AS2" s="173" t="n"/>
      <c r="AT2" s="173" t="n"/>
      <c r="AU2" s="173" t="n"/>
      <c r="AV2" s="173" t="n"/>
      <c r="AW2" s="173" t="n"/>
      <c r="AX2" s="173" t="n"/>
      <c r="AY2" s="173" t="n"/>
      <c r="AZ2" s="173" t="n"/>
      <c r="BA2" s="173" t="n"/>
      <c r="BB2" s="173" t="n"/>
      <c r="BC2" s="173" t="n"/>
      <c r="BD2" s="173" t="n"/>
      <c r="BE2" s="173" t="n"/>
      <c r="BF2" s="173" t="n"/>
      <c r="BG2" s="173" t="n"/>
      <c r="BH2" s="173" t="n"/>
      <c r="BI2" s="173" t="n"/>
      <c r="BJ2" s="173" t="n"/>
      <c r="BK2" s="173" t="n"/>
      <c r="BL2" s="173" t="n"/>
      <c r="BM2" s="173" t="n"/>
      <c r="BN2" s="173" t="n"/>
      <c r="BO2" s="173" t="n"/>
      <c r="BP2" s="173" t="n"/>
      <c r="BQ2" s="173" t="n"/>
      <c r="BR2" s="173" t="n"/>
      <c r="BS2" s="194" t="n"/>
    </row>
    <row r="3">
      <c r="A3" s="12" t="inlineStr">
        <is>
          <t>A --&gt; E = Anfang Ende Gesamtbauprogramm</t>
        </is>
      </c>
      <c r="B3" s="165">
        <f>"Woche " &amp; WEEKNUM(B4)</f>
        <v/>
      </c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  <c r="O3" s="167" t="n"/>
      <c r="P3" s="187">
        <f>"Woche " &amp; WEEKNUM(P4)</f>
        <v/>
      </c>
      <c r="Q3" s="166" t="n"/>
      <c r="R3" s="166" t="n"/>
      <c r="S3" s="166" t="n"/>
      <c r="T3" s="166" t="n"/>
      <c r="U3" s="166" t="n"/>
      <c r="V3" s="166" t="n"/>
      <c r="W3" s="166" t="n"/>
      <c r="X3" s="166" t="n"/>
      <c r="Y3" s="166" t="n"/>
      <c r="Z3" s="166" t="n"/>
      <c r="AA3" s="166" t="n"/>
      <c r="AB3" s="166" t="n"/>
      <c r="AC3" s="167" t="n"/>
      <c r="AD3" s="187">
        <f>"Woche " &amp; WEEKNUM(AD4)</f>
        <v/>
      </c>
      <c r="AE3" s="166" t="n"/>
      <c r="AF3" s="166" t="n"/>
      <c r="AG3" s="166" t="n"/>
      <c r="AH3" s="166" t="n"/>
      <c r="AI3" s="166" t="n"/>
      <c r="AJ3" s="166" t="n"/>
      <c r="AK3" s="166" t="n"/>
      <c r="AL3" s="166" t="n"/>
      <c r="AM3" s="166" t="n"/>
      <c r="AN3" s="166" t="n"/>
      <c r="AO3" s="166" t="n"/>
      <c r="AP3" s="166" t="n"/>
      <c r="AQ3" s="167" t="n"/>
      <c r="AR3" s="187">
        <f>"Woche " &amp; WEEKNUM(AR4)</f>
        <v/>
      </c>
      <c r="AS3" s="166" t="n"/>
      <c r="AT3" s="166" t="n"/>
      <c r="AU3" s="166" t="n"/>
      <c r="AV3" s="166" t="n"/>
      <c r="AW3" s="166" t="n"/>
      <c r="AX3" s="166" t="n"/>
      <c r="AY3" s="166" t="n"/>
      <c r="AZ3" s="166" t="n"/>
      <c r="BA3" s="166" t="n"/>
      <c r="BB3" s="166" t="n"/>
      <c r="BC3" s="166" t="n"/>
      <c r="BD3" s="166" t="n"/>
      <c r="BE3" s="167" t="n"/>
      <c r="BF3" s="187">
        <f>"Woche " &amp; WEEKNUM(BF4)</f>
        <v/>
      </c>
      <c r="BG3" s="166" t="n"/>
      <c r="BH3" s="166" t="n"/>
      <c r="BI3" s="166" t="n"/>
      <c r="BJ3" s="166" t="n"/>
      <c r="BK3" s="166" t="n"/>
      <c r="BL3" s="166" t="n"/>
      <c r="BM3" s="166" t="n"/>
      <c r="BN3" s="166" t="n"/>
      <c r="BO3" s="166" t="n"/>
      <c r="BP3" s="166" t="n"/>
      <c r="BQ3" s="166" t="n"/>
      <c r="BR3" s="166" t="n"/>
      <c r="BS3" s="167" t="n"/>
    </row>
    <row r="4">
      <c r="A4" s="13" t="inlineStr">
        <is>
          <t>(S),(M),(C),(V),(F) = Zuständigkeit (Vorname)</t>
        </is>
      </c>
      <c r="B4" s="174">
        <f>B1</f>
        <v/>
      </c>
      <c r="C4" s="175" t="n"/>
      <c r="D4" s="174">
        <f>B4+1</f>
        <v/>
      </c>
      <c r="E4" s="175" t="n"/>
      <c r="F4" s="174">
        <f>D4+1</f>
        <v/>
      </c>
      <c r="G4" s="175" t="n"/>
      <c r="H4" s="174">
        <f>F4+1</f>
        <v/>
      </c>
      <c r="I4" s="175" t="n"/>
      <c r="J4" s="174">
        <f>H4+1</f>
        <v/>
      </c>
      <c r="K4" s="175" t="n"/>
      <c r="L4" s="174">
        <f>J4+1</f>
        <v/>
      </c>
      <c r="M4" s="175" t="n"/>
      <c r="N4" s="174">
        <f>L4+1</f>
        <v/>
      </c>
      <c r="O4" s="175" t="n"/>
      <c r="P4" s="174">
        <f>N4+1</f>
        <v/>
      </c>
      <c r="Q4" s="175" t="n"/>
      <c r="R4" s="174">
        <f>P4+1</f>
        <v/>
      </c>
      <c r="S4" s="175" t="n"/>
      <c r="T4" s="174">
        <f>R4+1</f>
        <v/>
      </c>
      <c r="U4" s="175" t="n"/>
      <c r="V4" s="174">
        <f>T4+1</f>
        <v/>
      </c>
      <c r="W4" s="175" t="n"/>
      <c r="X4" s="174">
        <f>V4+1</f>
        <v/>
      </c>
      <c r="Y4" s="175" t="n"/>
      <c r="Z4" s="174">
        <f>X4+1</f>
        <v/>
      </c>
      <c r="AA4" s="175" t="n"/>
      <c r="AB4" s="188">
        <f>Z4+1</f>
        <v/>
      </c>
      <c r="AC4" s="175" t="n"/>
      <c r="AD4" s="188">
        <f>AB4+1</f>
        <v/>
      </c>
      <c r="AE4" s="175" t="n"/>
      <c r="AF4" s="174">
        <f>AD4+1</f>
        <v/>
      </c>
      <c r="AG4" s="175" t="n"/>
      <c r="AH4" s="174">
        <f>AF4+1</f>
        <v/>
      </c>
      <c r="AI4" s="175" t="n"/>
      <c r="AJ4" s="174">
        <f>AH4+1</f>
        <v/>
      </c>
      <c r="AK4" s="175" t="n"/>
      <c r="AL4" s="174">
        <f>AJ4+1</f>
        <v/>
      </c>
      <c r="AM4" s="175" t="n"/>
      <c r="AN4" s="174">
        <f>AL4+1</f>
        <v/>
      </c>
      <c r="AO4" s="175" t="n"/>
      <c r="AP4" s="174">
        <f>AN4+1</f>
        <v/>
      </c>
      <c r="AQ4" s="175" t="n"/>
      <c r="AR4" s="174">
        <f>AP4+1</f>
        <v/>
      </c>
      <c r="AS4" s="175" t="n"/>
      <c r="AT4" s="174">
        <f>AR4+1</f>
        <v/>
      </c>
      <c r="AU4" s="175" t="n"/>
      <c r="AV4" s="174">
        <f>AT4+1</f>
        <v/>
      </c>
      <c r="AW4" s="175" t="n"/>
      <c r="AX4" s="174">
        <f>AV4+1</f>
        <v/>
      </c>
      <c r="AY4" s="175" t="n"/>
      <c r="AZ4" s="174">
        <f>AX4+1</f>
        <v/>
      </c>
      <c r="BA4" s="175" t="n"/>
      <c r="BB4" s="174">
        <f>AZ4+1</f>
        <v/>
      </c>
      <c r="BC4" s="175" t="n"/>
      <c r="BD4" s="174">
        <f>BB4+1</f>
        <v/>
      </c>
      <c r="BE4" s="175" t="n"/>
      <c r="BF4" s="174">
        <f>BD4+1</f>
        <v/>
      </c>
      <c r="BG4" s="175" t="n"/>
      <c r="BH4" s="174">
        <f>BF4+1</f>
        <v/>
      </c>
      <c r="BI4" s="175" t="n"/>
      <c r="BJ4" s="174">
        <f>BH4+1</f>
        <v/>
      </c>
      <c r="BK4" s="175" t="n"/>
      <c r="BL4" s="174">
        <f>BJ4+1</f>
        <v/>
      </c>
      <c r="BM4" s="175" t="n"/>
      <c r="BN4" s="174">
        <f>BL4+1</f>
        <v/>
      </c>
      <c r="BO4" s="175" t="n"/>
      <c r="BP4" s="174">
        <f>BN4+1</f>
        <v/>
      </c>
      <c r="BQ4" s="175" t="n"/>
      <c r="BR4" s="174">
        <f>BP4+1</f>
        <v/>
      </c>
      <c r="BS4" s="175" t="n"/>
    </row>
    <row r="5">
      <c r="A5" s="75" t="inlineStr">
        <is>
          <t>Rot = Verzug</t>
        </is>
      </c>
      <c r="B5" s="198" t="inlineStr">
        <is>
          <t>Mo</t>
        </is>
      </c>
      <c r="C5" s="164" t="n"/>
      <c r="D5" s="163" t="inlineStr">
        <is>
          <t>Di</t>
        </is>
      </c>
      <c r="E5" s="164" t="n"/>
      <c r="F5" s="163" t="inlineStr">
        <is>
          <t>Mi</t>
        </is>
      </c>
      <c r="G5" s="164" t="n"/>
      <c r="H5" s="163" t="inlineStr">
        <is>
          <t>Do</t>
        </is>
      </c>
      <c r="I5" s="164" t="n"/>
      <c r="J5" s="163" t="inlineStr">
        <is>
          <t>Fr</t>
        </is>
      </c>
      <c r="K5" s="164" t="n"/>
      <c r="L5" s="163" t="inlineStr">
        <is>
          <t>Sa</t>
        </is>
      </c>
      <c r="M5" s="164" t="n"/>
      <c r="N5" s="163" t="inlineStr">
        <is>
          <t>So</t>
        </is>
      </c>
      <c r="O5" s="164" t="n"/>
      <c r="P5" s="170" t="inlineStr">
        <is>
          <t>Mo</t>
        </is>
      </c>
      <c r="Q5" s="164" t="n"/>
      <c r="R5" s="163" t="inlineStr">
        <is>
          <t>Di</t>
        </is>
      </c>
      <c r="S5" s="164" t="n"/>
      <c r="T5" s="163" t="inlineStr">
        <is>
          <t>Mi</t>
        </is>
      </c>
      <c r="U5" s="164" t="n"/>
      <c r="V5" s="163" t="inlineStr">
        <is>
          <t>Do</t>
        </is>
      </c>
      <c r="W5" s="164" t="n"/>
      <c r="X5" s="163" t="inlineStr">
        <is>
          <t>Fr</t>
        </is>
      </c>
      <c r="Y5" s="164" t="n"/>
      <c r="Z5" s="163" t="inlineStr">
        <is>
          <t>Sa</t>
        </is>
      </c>
      <c r="AA5" s="164" t="n"/>
      <c r="AB5" s="163" t="inlineStr">
        <is>
          <t>So</t>
        </is>
      </c>
      <c r="AC5" s="164" t="n"/>
      <c r="AD5" s="170" t="inlineStr">
        <is>
          <t>Mo</t>
        </is>
      </c>
      <c r="AE5" s="164" t="n"/>
      <c r="AF5" s="163" t="inlineStr">
        <is>
          <t>Di</t>
        </is>
      </c>
      <c r="AG5" s="164" t="n"/>
      <c r="AH5" s="163" t="inlineStr">
        <is>
          <t>Mi</t>
        </is>
      </c>
      <c r="AI5" s="164" t="n"/>
      <c r="AJ5" s="163" t="inlineStr">
        <is>
          <t>Do</t>
        </is>
      </c>
      <c r="AK5" s="164" t="n"/>
      <c r="AL5" s="163" t="inlineStr">
        <is>
          <t>Fr</t>
        </is>
      </c>
      <c r="AM5" s="164" t="n"/>
      <c r="AN5" s="163" t="inlineStr">
        <is>
          <t>Sa</t>
        </is>
      </c>
      <c r="AO5" s="164" t="n"/>
      <c r="AP5" s="163" t="inlineStr">
        <is>
          <t>So</t>
        </is>
      </c>
      <c r="AQ5" s="164" t="n"/>
      <c r="AR5" s="170" t="inlineStr">
        <is>
          <t>Mo</t>
        </is>
      </c>
      <c r="AS5" s="164" t="n"/>
      <c r="AT5" s="163" t="inlineStr">
        <is>
          <t>Di</t>
        </is>
      </c>
      <c r="AU5" s="164" t="n"/>
      <c r="AV5" s="163" t="inlineStr">
        <is>
          <t>Mi</t>
        </is>
      </c>
      <c r="AW5" s="164" t="n"/>
      <c r="AX5" s="163" t="inlineStr">
        <is>
          <t>Do</t>
        </is>
      </c>
      <c r="AY5" s="164" t="n"/>
      <c r="AZ5" s="163" t="inlineStr">
        <is>
          <t>Fr</t>
        </is>
      </c>
      <c r="BA5" s="164" t="n"/>
      <c r="BB5" s="163" t="inlineStr">
        <is>
          <t>Sa</t>
        </is>
      </c>
      <c r="BC5" s="164" t="n"/>
      <c r="BD5" s="163" t="inlineStr">
        <is>
          <t>So</t>
        </is>
      </c>
      <c r="BE5" s="164" t="n"/>
      <c r="BF5" s="170" t="inlineStr">
        <is>
          <t>Mo</t>
        </is>
      </c>
      <c r="BG5" s="164" t="n"/>
      <c r="BH5" s="163" t="inlineStr">
        <is>
          <t>Di</t>
        </is>
      </c>
      <c r="BI5" s="164" t="n"/>
      <c r="BJ5" s="163" t="inlineStr">
        <is>
          <t>Mi</t>
        </is>
      </c>
      <c r="BK5" s="164" t="n"/>
      <c r="BL5" s="163" t="inlineStr">
        <is>
          <t>Do</t>
        </is>
      </c>
      <c r="BM5" s="164" t="n"/>
      <c r="BN5" s="163" t="inlineStr">
        <is>
          <t>Fr</t>
        </is>
      </c>
      <c r="BO5" s="164" t="n"/>
      <c r="BP5" s="163" t="inlineStr">
        <is>
          <t>Sa</t>
        </is>
      </c>
      <c r="BQ5" s="164" t="n"/>
      <c r="BR5" s="163" t="inlineStr">
        <is>
          <t>So</t>
        </is>
      </c>
      <c r="BS5" s="164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48" t="n"/>
      <c r="Q7" s="47" t="n"/>
      <c r="R7" s="9" t="n"/>
      <c r="S7" s="10" t="n"/>
      <c r="T7" s="46" t="n"/>
      <c r="U7" s="47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46" t="n"/>
      <c r="AK7" s="47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inlineStr">
        <is>
          <t>Baustart Perimeter 2026</t>
        </is>
      </c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48" t="n"/>
      <c r="Q8" s="47" t="n"/>
      <c r="R8" s="9" t="n"/>
      <c r="S8" s="10" t="n"/>
      <c r="T8" s="46" t="n"/>
      <c r="U8" s="47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46" t="n"/>
      <c r="AK8" s="47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inlineStr">
        <is>
          <t>(S) Froschzaun montieren (keine Lücken)</t>
        </is>
      </c>
      <c r="B9" s="43" t="n"/>
      <c r="C9" s="44" t="n"/>
      <c r="D9" s="50" t="n"/>
      <c r="E9" s="44" t="n"/>
      <c r="F9" s="50" t="n"/>
      <c r="G9" s="44" t="n"/>
      <c r="H9" s="50" t="n"/>
      <c r="I9" s="44" t="n"/>
      <c r="J9" s="50" t="n"/>
      <c r="K9" s="44" t="n"/>
      <c r="L9" s="33" t="n"/>
      <c r="M9" s="34" t="n"/>
      <c r="N9" s="33" t="n"/>
      <c r="O9" s="35" t="n"/>
      <c r="P9" s="48" t="n"/>
      <c r="Q9" s="47" t="n"/>
      <c r="R9" s="9" t="n"/>
      <c r="S9" s="10" t="n"/>
      <c r="T9" s="46" t="n"/>
      <c r="U9" s="47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46" t="n"/>
      <c r="AK9" s="47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48" t="n"/>
      <c r="Q10" s="47" t="n"/>
      <c r="R10" s="9" t="n"/>
      <c r="S10" s="10" t="n"/>
      <c r="T10" s="46" t="n"/>
      <c r="U10" s="47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46" t="n"/>
      <c r="AK10" s="47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idden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48" t="n"/>
      <c r="Q11" s="47" t="n"/>
      <c r="R11" s="9" t="n"/>
      <c r="S11" s="10" t="n"/>
      <c r="T11" s="46" t="n"/>
      <c r="U11" s="47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46" t="n"/>
      <c r="AK11" s="47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idden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48" t="n"/>
      <c r="Q12" s="47" t="n"/>
      <c r="R12" s="9" t="n"/>
      <c r="S12" s="10" t="n"/>
      <c r="T12" s="46" t="n"/>
      <c r="U12" s="47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46" t="n"/>
      <c r="AK12" s="47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idden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48" t="n"/>
      <c r="Q13" s="47" t="n"/>
      <c r="R13" s="9" t="n"/>
      <c r="S13" s="10" t="n"/>
      <c r="T13" s="46" t="n"/>
      <c r="U13" s="47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46" t="n"/>
      <c r="AK13" s="47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idden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48" t="n"/>
      <c r="Q14" s="47" t="n"/>
      <c r="R14" s="9" t="n"/>
      <c r="S14" s="10" t="n"/>
      <c r="T14" s="46" t="n"/>
      <c r="U14" s="47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46" t="n"/>
      <c r="AK14" s="47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idden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48" t="n"/>
      <c r="Q15" s="47" t="n"/>
      <c r="R15" s="9" t="n"/>
      <c r="S15" s="10" t="n"/>
      <c r="T15" s="46" t="n"/>
      <c r="U15" s="47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46" t="n"/>
      <c r="AK15" s="47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idden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48" t="n"/>
      <c r="Q16" s="47" t="n"/>
      <c r="R16" s="9" t="n"/>
      <c r="S16" s="10" t="n"/>
      <c r="T16" s="46" t="n"/>
      <c r="U16" s="47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46" t="n"/>
      <c r="AK16" s="47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48" t="n"/>
      <c r="Q17" s="47" t="n"/>
      <c r="R17" s="9" t="n"/>
      <c r="S17" s="10" t="n"/>
      <c r="T17" s="46" t="n"/>
      <c r="U17" s="4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46" t="n"/>
      <c r="AK17" s="47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48" t="n"/>
      <c r="Q18" s="47" t="n"/>
      <c r="R18" s="9" t="n"/>
      <c r="S18" s="10" t="n"/>
      <c r="T18" s="46" t="n"/>
      <c r="U18" s="47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46" t="n"/>
      <c r="AK18" s="47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5" t="inlineStr">
        <is>
          <t xml:space="preserve">  PZ1_26_2.1 </t>
        </is>
      </c>
      <c r="B19" s="32" t="n"/>
      <c r="C19" s="31" t="n"/>
      <c r="D19" s="56" t="n"/>
      <c r="E19" s="55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48" t="n"/>
      <c r="Q19" s="47" t="n"/>
      <c r="R19" s="9" t="n"/>
      <c r="S19" s="10" t="n"/>
      <c r="T19" s="46" t="n"/>
      <c r="U19" s="47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46" t="n"/>
      <c r="AK19" s="47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5" t="inlineStr">
        <is>
          <t xml:space="preserve">  PZ1_26_1.4 </t>
        </is>
      </c>
      <c r="B20" s="32" t="n"/>
      <c r="C20" s="31" t="n"/>
      <c r="D20" s="9" t="n"/>
      <c r="E20" s="10" t="n"/>
      <c r="F20" s="56" t="n"/>
      <c r="G20" s="55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48" t="n"/>
      <c r="Q20" s="47" t="n"/>
      <c r="R20" s="9" t="n"/>
      <c r="S20" s="10" t="n"/>
      <c r="T20" s="46" t="n"/>
      <c r="U20" s="47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46" t="n"/>
      <c r="AK20" s="47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5" t="inlineStr">
        <is>
          <t xml:space="preserve">  PZ1_26_2.2</t>
        </is>
      </c>
      <c r="B21" s="32" t="n"/>
      <c r="C21" s="31" t="n"/>
      <c r="D21" s="9" t="n"/>
      <c r="E21" s="10" t="n"/>
      <c r="F21" s="9" t="n"/>
      <c r="G21" s="10" t="n"/>
      <c r="H21" s="56" t="n"/>
      <c r="I21" s="55" t="n"/>
      <c r="J21" s="9" t="n"/>
      <c r="K21" s="10" t="n"/>
      <c r="L21" s="26" t="n"/>
      <c r="M21" s="27" t="n"/>
      <c r="N21" s="26" t="n"/>
      <c r="O21" s="28" t="n"/>
      <c r="P21" s="48" t="n"/>
      <c r="Q21" s="47" t="n"/>
      <c r="R21" s="9" t="n"/>
      <c r="S21" s="10" t="n"/>
      <c r="T21" s="46" t="n"/>
      <c r="U21" s="47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46" t="n"/>
      <c r="AK21" s="47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5" t="inlineStr">
        <is>
          <t xml:space="preserve">  PZ1_26_1.5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48" t="n"/>
      <c r="Q22" s="47" t="n"/>
      <c r="R22" s="56" t="n"/>
      <c r="S22" s="55" t="n"/>
      <c r="T22" s="46" t="n"/>
      <c r="U22" s="47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46" t="n"/>
      <c r="AK22" s="47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5" t="inlineStr">
        <is>
          <t xml:space="preserve">  Einsatz Reto Pöhl</t>
        </is>
      </c>
      <c r="B23" s="32" t="n"/>
      <c r="C23" s="31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48" t="n"/>
      <c r="Q23" s="47" t="n"/>
      <c r="R23" s="77" t="inlineStr">
        <is>
          <t>X</t>
        </is>
      </c>
      <c r="S23" s="55" t="n"/>
      <c r="T23" s="46" t="n"/>
      <c r="U23" s="47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46" t="n"/>
      <c r="AK23" s="47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5" t="inlineStr">
        <is>
          <t xml:space="preserve">  PZ1_26_3.2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48" t="n"/>
      <c r="Q24" s="47" t="n"/>
      <c r="R24" s="9" t="n"/>
      <c r="S24" s="10" t="n"/>
      <c r="T24" s="46" t="n"/>
      <c r="U24" s="47" t="n"/>
      <c r="V24" s="56" t="n"/>
      <c r="W24" s="55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46" t="n"/>
      <c r="AK24" s="47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5" t="inlineStr">
        <is>
          <t xml:space="preserve">  Rückbau Baupiste B2 (Unbedingt Beihilfe stellen!)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48" t="n"/>
      <c r="Q25" s="47" t="n"/>
      <c r="R25" s="9" t="n"/>
      <c r="S25" s="10" t="n"/>
      <c r="T25" s="46" t="n"/>
      <c r="U25" s="47" t="n"/>
      <c r="V25" s="9" t="n"/>
      <c r="W25" s="10" t="n"/>
      <c r="X25" s="56" t="n"/>
      <c r="Y25" s="55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46" t="n"/>
      <c r="AK25" s="47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5" t="inlineStr">
        <is>
          <t xml:space="preserve">  PZ2_26_4.1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48" t="n"/>
      <c r="Q26" s="47" t="n"/>
      <c r="R26" s="9" t="n"/>
      <c r="S26" s="10" t="n"/>
      <c r="T26" s="46" t="n"/>
      <c r="U26" s="47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70" t="n"/>
      <c r="AE26" s="55" t="n"/>
      <c r="AF26" s="56" t="n"/>
      <c r="AG26" s="55" t="n"/>
      <c r="AH26" s="9" t="n"/>
      <c r="AI26" s="10" t="n"/>
      <c r="AJ26" s="46" t="n"/>
      <c r="AK26" s="47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5" t="inlineStr">
        <is>
          <t xml:space="preserve">  PZ2_26_4.2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48" t="n"/>
      <c r="Q27" s="47" t="n"/>
      <c r="R27" s="9" t="n"/>
      <c r="S27" s="10" t="n"/>
      <c r="T27" s="46" t="n"/>
      <c r="U27" s="47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56" t="n"/>
      <c r="AG27" s="55" t="n"/>
      <c r="AH27" s="56" t="n"/>
      <c r="AI27" s="55" t="n"/>
      <c r="AJ27" s="46" t="n"/>
      <c r="AK27" s="47" t="n"/>
      <c r="AL27" s="56" t="n"/>
      <c r="AM27" s="55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37" t="n"/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48" t="n"/>
      <c r="Q28" s="47" t="n"/>
      <c r="R28" s="9" t="n"/>
      <c r="S28" s="10" t="n"/>
      <c r="T28" s="46" t="n"/>
      <c r="U28" s="47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46" t="n"/>
      <c r="AK28" s="47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8" t="inlineStr">
        <is>
          <t>Bohren (30 Pfähle pro Tag)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48" t="n"/>
      <c r="Q29" s="47" t="n"/>
      <c r="R29" s="9" t="n"/>
      <c r="S29" s="10" t="n"/>
      <c r="T29" s="46" t="n"/>
      <c r="U29" s="47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46" t="n"/>
      <c r="AK29" s="47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36" t="inlineStr">
        <is>
          <t>Anlieferung neuer Muk</t>
        </is>
      </c>
      <c r="B30" s="32" t="n"/>
      <c r="C30" s="31" t="n"/>
      <c r="D30" s="9" t="n"/>
      <c r="E30" s="10" t="n"/>
      <c r="F30" s="9" t="n"/>
      <c r="G30" s="10" t="n"/>
      <c r="H30" s="60" t="n"/>
      <c r="I30" s="61" t="n"/>
      <c r="J30" s="60" t="n"/>
      <c r="K30" s="61" t="n"/>
      <c r="L30" s="26" t="n"/>
      <c r="M30" s="27" t="n"/>
      <c r="N30" s="26" t="n"/>
      <c r="O30" s="28" t="n"/>
      <c r="P30" s="48" t="n"/>
      <c r="Q30" s="47" t="n"/>
      <c r="R30" s="9" t="n"/>
      <c r="S30" s="10" t="n"/>
      <c r="T30" s="46" t="n"/>
      <c r="U30" s="47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46" t="n"/>
      <c r="AK30" s="47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>
      <c r="A31" s="53" t="inlineStr">
        <is>
          <t>Bohren (Turri, Champion) (15 p T pro Gruppe)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48" t="n"/>
      <c r="Q31" s="47" t="n"/>
      <c r="R31" s="9" t="n"/>
      <c r="S31" s="10" t="n"/>
      <c r="T31" s="46" t="n"/>
      <c r="U31" s="47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46" t="n"/>
      <c r="AK31" s="47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5" t="inlineStr">
        <is>
          <t xml:space="preserve">  Bohren PZ1_26_3.1 (16B)(Beilageplan)</t>
        </is>
      </c>
      <c r="B32" s="72" t="n"/>
      <c r="C32" s="20" t="n"/>
      <c r="D32" s="29" t="n"/>
      <c r="E32" s="2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48" t="n"/>
      <c r="Q32" s="47" t="n"/>
      <c r="R32" s="9" t="n"/>
      <c r="S32" s="10" t="n"/>
      <c r="T32" s="46" t="n"/>
      <c r="U32" s="47" t="n"/>
      <c r="V32" s="9" t="inlineStr">
        <is>
          <t>A</t>
        </is>
      </c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inlineStr">
        <is>
          <t>E</t>
        </is>
      </c>
      <c r="AH32" s="9" t="n"/>
      <c r="AI32" s="10" t="n"/>
      <c r="AJ32" s="46" t="n"/>
      <c r="AK32" s="47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71" t="inlineStr">
        <is>
          <t xml:space="preserve">  Bohren PZ1_26_2.1 (2B,13E)(Beilageplan)</t>
        </is>
      </c>
      <c r="B33" s="9" t="inlineStr">
        <is>
          <t>A</t>
        </is>
      </c>
      <c r="C33" s="10" t="n"/>
      <c r="D33" s="9" t="n"/>
      <c r="E33" s="10" t="n"/>
      <c r="F33" s="29" t="n"/>
      <c r="G33" s="20" t="inlineStr">
        <is>
          <t>E</t>
        </is>
      </c>
      <c r="H33" s="29" t="n"/>
      <c r="I33" s="20" t="n"/>
      <c r="J33" s="9" t="n"/>
      <c r="K33" s="10" t="n"/>
      <c r="L33" s="26" t="n"/>
      <c r="M33" s="27" t="n"/>
      <c r="N33" s="26" t="n"/>
      <c r="O33" s="28" t="n"/>
      <c r="P33" s="48" t="n"/>
      <c r="Q33" s="47" t="n"/>
      <c r="R33" s="9" t="n"/>
      <c r="S33" s="10" t="n"/>
      <c r="T33" s="46" t="n"/>
      <c r="U33" s="47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46" t="n"/>
      <c r="AK33" s="47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71" t="inlineStr">
        <is>
          <t xml:space="preserve">  Bohren PZ1_26_2.2 (30E)(Beilageplan)</t>
        </is>
      </c>
      <c r="B34" s="32" t="n"/>
      <c r="C34" s="31" t="n"/>
      <c r="D34" s="9" t="n"/>
      <c r="E34" s="10" t="n"/>
      <c r="F34" s="9" t="n"/>
      <c r="G34" s="10" t="n"/>
      <c r="H34" s="9" t="inlineStr">
        <is>
          <t>A</t>
        </is>
      </c>
      <c r="I34" s="10" t="n"/>
      <c r="J34" s="29" t="n"/>
      <c r="K34" s="20" t="n"/>
      <c r="L34" s="26" t="n"/>
      <c r="M34" s="27" t="n"/>
      <c r="N34" s="26" t="n"/>
      <c r="O34" s="28" t="n"/>
      <c r="P34" s="48" t="n"/>
      <c r="Q34" s="47" t="n"/>
      <c r="R34" s="29" t="n"/>
      <c r="S34" s="20" t="n"/>
      <c r="T34" s="29" t="n"/>
      <c r="U34" s="20" t="inlineStr">
        <is>
          <t>E</t>
        </is>
      </c>
      <c r="V34" s="2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46" t="n"/>
      <c r="AK34" s="47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36" t="inlineStr">
        <is>
          <t xml:space="preserve">  Bohren PZ1_26_3.2 (4E)(Begleitplan)</t>
        </is>
      </c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48" t="n"/>
      <c r="Q35" s="47" t="n"/>
      <c r="R35" s="9" t="n"/>
      <c r="S35" s="10" t="n"/>
      <c r="T35" s="46" t="n"/>
      <c r="U35" s="47" t="n"/>
      <c r="V35" s="9" t="n"/>
      <c r="W35" s="10" t="n"/>
      <c r="X35" s="9" t="n"/>
      <c r="Y35" s="74" t="n"/>
      <c r="Z35" s="26" t="n"/>
      <c r="AA35" s="27" t="n"/>
      <c r="AB35" s="26" t="n"/>
      <c r="AC35" s="28" t="n"/>
      <c r="AD35" s="76" t="n"/>
      <c r="AE35" s="74" t="n"/>
      <c r="AF35" s="9" t="n"/>
      <c r="AG35" s="10" t="n"/>
      <c r="AH35" s="9" t="inlineStr">
        <is>
          <t>A</t>
        </is>
      </c>
      <c r="AI35" s="10" t="inlineStr">
        <is>
          <t>E</t>
        </is>
      </c>
      <c r="AJ35" s="46" t="n"/>
      <c r="AK35" s="47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36" t="inlineStr">
        <is>
          <t xml:space="preserve">  Bohren PZ1_26_1.4 (17 B)(Begleitplan)(WERKLEITUNGEN!!!)</t>
        </is>
      </c>
      <c r="B36" s="32" t="n"/>
      <c r="C36" s="31" t="n"/>
      <c r="D36" s="9" t="n"/>
      <c r="E36" s="10" t="n"/>
      <c r="F36" s="9" t="n"/>
      <c r="G36" s="10" t="n"/>
      <c r="H36" s="73" t="n"/>
      <c r="I36" s="74" t="n"/>
      <c r="J36" s="73" t="n"/>
      <c r="K36" s="74" t="n"/>
      <c r="L36" s="26" t="n"/>
      <c r="M36" s="27" t="n"/>
      <c r="N36" s="26" t="n"/>
      <c r="O36" s="28" t="n"/>
      <c r="P36" s="48" t="n"/>
      <c r="Q36" s="47" t="n"/>
      <c r="R36" s="73" t="n"/>
      <c r="S36" s="74" t="n"/>
      <c r="T36" s="46" t="n"/>
      <c r="U36" s="47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46" t="n"/>
      <c r="AK36" s="47" t="n"/>
      <c r="AL36" s="9" t="inlineStr">
        <is>
          <t>A</t>
        </is>
      </c>
      <c r="AM36" s="10" t="n"/>
      <c r="AN36" s="26" t="n"/>
      <c r="AO36" s="27" t="n"/>
      <c r="AP36" s="26" t="n"/>
      <c r="AQ36" s="28" t="n"/>
      <c r="AR36" s="32" t="n"/>
      <c r="AS36" s="31" t="inlineStr">
        <is>
          <t>E</t>
        </is>
      </c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36" t="inlineStr">
        <is>
          <t xml:space="preserve">  Bohren PZ1_26_1.5 (8 B)(Begleitplan)(WERKLEITUNGEN!!!)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48" t="n"/>
      <c r="Q37" s="47" t="n"/>
      <c r="R37" s="9" t="n"/>
      <c r="S37" s="10" t="n"/>
      <c r="T37" s="46" t="n"/>
      <c r="U37" s="47" t="n"/>
      <c r="V37" s="73" t="n"/>
      <c r="W37" s="74" t="n"/>
      <c r="X37" s="73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46" t="n"/>
      <c r="AK37" s="47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inlineStr">
        <is>
          <t>A</t>
        </is>
      </c>
      <c r="AU37" s="10" t="inlineStr">
        <is>
          <t>E</t>
        </is>
      </c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36" t="inlineStr">
        <is>
          <t xml:space="preserve">  Bohren PZ2_26_4.1 (4B, 10 D, 10 E)(Begleitplan)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48" t="n"/>
      <c r="Q38" s="47" t="n"/>
      <c r="R38" s="9" t="n"/>
      <c r="S38" s="10" t="n"/>
      <c r="T38" s="46" t="n"/>
      <c r="U38" s="47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19" t="n"/>
      <c r="AE38" s="20" t="n"/>
      <c r="AF38" s="29" t="n"/>
      <c r="AG38" s="20" t="n"/>
      <c r="AH38" s="29" t="n"/>
      <c r="AI38" s="20" t="n"/>
      <c r="AJ38" s="46" t="n"/>
      <c r="AK38" s="47" t="n"/>
      <c r="AL38" s="29" t="n"/>
      <c r="AM38" s="2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inlineStr">
        <is>
          <t>A</t>
        </is>
      </c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inlineStr">
        <is>
          <t>E</t>
        </is>
      </c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>
      <c r="A39" s="36" t="inlineStr">
        <is>
          <t xml:space="preserve">  Bohren PZ2_26_4.2 (4B, 9D)(Begleitplan)</t>
        </is>
      </c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48" t="n"/>
      <c r="Q39" s="47" t="n"/>
      <c r="R39" s="9" t="n"/>
      <c r="S39" s="10" t="n"/>
      <c r="T39" s="46" t="n"/>
      <c r="U39" s="47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73" t="n"/>
      <c r="AG39" s="74" t="n"/>
      <c r="AH39" s="73" t="n"/>
      <c r="AI39" s="74" t="n"/>
      <c r="AJ39" s="46" t="n"/>
      <c r="AK39" s="47" t="n"/>
      <c r="AL39" s="73" t="n"/>
      <c r="AM39" s="74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inlineStr">
        <is>
          <t>A</t>
        </is>
      </c>
      <c r="BI39" s="10" t="n"/>
      <c r="BJ39" s="9" t="n"/>
      <c r="BK39" s="10" t="n"/>
      <c r="BL39" s="9" t="n"/>
      <c r="BM39" s="10" t="inlineStr">
        <is>
          <t>E</t>
        </is>
      </c>
      <c r="BN39" s="9" t="n"/>
      <c r="BO39" s="10" t="n"/>
      <c r="BP39" s="26" t="n"/>
      <c r="BQ39" s="27" t="n"/>
      <c r="BR39" s="26" t="n"/>
      <c r="BS39" s="28" t="n"/>
    </row>
    <row r="40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48" t="n"/>
      <c r="Q40" s="47" t="n"/>
      <c r="R40" s="9" t="n"/>
      <c r="S40" s="10" t="n"/>
      <c r="T40" s="46" t="n"/>
      <c r="U40" s="47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46" t="n"/>
      <c r="AK40" s="47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>
      <c r="A41" s="36" t="inlineStr">
        <is>
          <t xml:space="preserve">  Bohren Baupiste B2 (9*4 Typ E)</t>
        </is>
      </c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48" t="n"/>
      <c r="Q41" s="47" t="n"/>
      <c r="R41" s="9" t="n"/>
      <c r="S41" s="10" t="n"/>
      <c r="T41" s="46" t="n"/>
      <c r="U41" s="47" t="n"/>
      <c r="V41" s="9" t="n"/>
      <c r="W41" s="10" t="n"/>
      <c r="X41" s="29" t="n"/>
      <c r="Y41" s="20" t="n"/>
      <c r="Z41" s="26" t="n"/>
      <c r="AA41" s="27" t="n"/>
      <c r="AB41" s="26" t="n"/>
      <c r="AC41" s="28" t="n"/>
      <c r="AD41" s="32" t="n"/>
      <c r="AE41" s="31" t="n"/>
      <c r="AF41" s="9" t="inlineStr">
        <is>
          <t>A</t>
        </is>
      </c>
      <c r="AG41" s="10" t="inlineStr">
        <is>
          <t>E</t>
        </is>
      </c>
      <c r="AH41" s="9" t="n"/>
      <c r="AI41" s="10" t="n"/>
      <c r="AJ41" s="46" t="n"/>
      <c r="AK41" s="47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>
      <c r="A42" s="36" t="inlineStr">
        <is>
          <t xml:space="preserve">  Bohren Baupiste B3 (-)</t>
        </is>
      </c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48" t="n"/>
      <c r="Q42" s="47" t="n"/>
      <c r="R42" s="9" t="n"/>
      <c r="S42" s="10" t="n"/>
      <c r="T42" s="46" t="n"/>
      <c r="U42" s="47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46" t="n"/>
      <c r="AK42" s="47" t="n"/>
      <c r="AL42" s="9" t="n"/>
      <c r="AM42" s="10" t="n"/>
      <c r="AN42" s="26" t="n"/>
      <c r="AO42" s="27" t="n"/>
      <c r="AP42" s="26" t="n"/>
      <c r="AQ42" s="28" t="n"/>
      <c r="AR42" s="19" t="n"/>
      <c r="AS42" s="20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inlineStr">
        <is>
          <t>A</t>
        </is>
      </c>
      <c r="BM42" s="10" t="inlineStr">
        <is>
          <t>E</t>
        </is>
      </c>
      <c r="BN42" s="9" t="n"/>
      <c r="BO42" s="10" t="n"/>
      <c r="BP42" s="26" t="n"/>
      <c r="BQ42" s="27" t="n"/>
      <c r="BR42" s="26" t="n"/>
      <c r="BS42" s="28" t="n"/>
    </row>
    <row r="43">
      <c r="A43" s="15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48" t="n"/>
      <c r="Q43" s="47" t="n"/>
      <c r="R43" s="9" t="n"/>
      <c r="S43" s="10" t="n"/>
      <c r="T43" s="46" t="n"/>
      <c r="U43" s="47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46" t="n"/>
      <c r="AK43" s="47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18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48" t="n"/>
      <c r="Q44" s="47" t="n"/>
      <c r="R44" s="9" t="n"/>
      <c r="S44" s="10" t="n"/>
      <c r="T44" s="46" t="n"/>
      <c r="U44" s="47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46" t="n"/>
      <c r="AK44" s="47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15" t="n"/>
      <c r="B45" s="32" t="n"/>
      <c r="C45" s="31" t="n"/>
      <c r="D45" s="30" t="n"/>
      <c r="E45" s="31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48" t="n"/>
      <c r="Q45" s="47" t="n"/>
      <c r="R45" s="9" t="n"/>
      <c r="S45" s="10" t="n"/>
      <c r="T45" s="46" t="n"/>
      <c r="U45" s="47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46" t="n"/>
      <c r="AK45" s="47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15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48" t="n"/>
      <c r="Q46" s="47" t="n"/>
      <c r="R46" s="9" t="n"/>
      <c r="S46" s="10" t="n"/>
      <c r="T46" s="46" t="n"/>
      <c r="U46" s="47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46" t="n"/>
      <c r="AK46" s="47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8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48" t="n"/>
      <c r="Q47" s="47" t="n"/>
      <c r="R47" s="9" t="n"/>
      <c r="S47" s="10" t="n"/>
      <c r="T47" s="46" t="n"/>
      <c r="U47" s="47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46" t="n"/>
      <c r="AK47" s="47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>
      <c r="A48" s="15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48" t="n"/>
      <c r="Q48" s="47" t="n"/>
      <c r="R48" s="9" t="n"/>
      <c r="S48" s="10" t="n"/>
      <c r="T48" s="46" t="n"/>
      <c r="U48" s="47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46" t="n"/>
      <c r="AK48" s="47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48" t="n"/>
      <c r="Q49" s="47" t="n"/>
      <c r="R49" s="9" t="n"/>
      <c r="S49" s="10" t="n"/>
      <c r="T49" s="46" t="n"/>
      <c r="U49" s="47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46" t="n"/>
      <c r="AK49" s="47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>
      <c r="A50" s="65" t="inlineStr">
        <is>
          <t>Stahlbau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48" t="n"/>
      <c r="Q50" s="47" t="n"/>
      <c r="R50" s="9" t="n"/>
      <c r="S50" s="10" t="n"/>
      <c r="T50" s="46" t="n"/>
      <c r="U50" s="47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46" t="n"/>
      <c r="AK50" s="47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>
      <c r="A51" s="65" t="inlineStr">
        <is>
          <t xml:space="preserve">  Lieferungen Passstuecke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48" t="n"/>
      <c r="Q51" s="47" t="n"/>
      <c r="R51" s="9" t="n"/>
      <c r="S51" s="10" t="n"/>
      <c r="T51" s="46" t="n"/>
      <c r="U51" s="47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46" t="n"/>
      <c r="AK51" s="47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>
      <c r="A52" s="67" t="inlineStr">
        <is>
          <t xml:space="preserve">    Oder Batch 1 angekommen und vormontiert (Begleitplan)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5" t="n"/>
      <c r="P52" s="48" t="n"/>
      <c r="Q52" s="47" t="n"/>
      <c r="R52" s="9" t="n"/>
      <c r="S52" s="10" t="n"/>
      <c r="T52" s="46" t="n"/>
      <c r="U52" s="47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46" t="n"/>
      <c r="AK52" s="47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67" t="inlineStr">
        <is>
          <t xml:space="preserve">    Order Batch 2 (Beilageplan)(26_1.1 &amp; 1.2 kompl.)</t>
        </is>
      </c>
      <c r="B53" s="49" t="n"/>
      <c r="C53" s="31" t="n"/>
      <c r="D53" s="9" t="n"/>
      <c r="E53" s="10" t="n"/>
      <c r="F53" s="54" t="inlineStr">
        <is>
          <t>X</t>
        </is>
      </c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48" t="n"/>
      <c r="Q53" s="47" t="n"/>
      <c r="R53" s="54" t="n"/>
      <c r="S53" s="10" t="n"/>
      <c r="T53" s="46" t="n"/>
      <c r="U53" s="47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46" t="n"/>
      <c r="AK53" s="47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67" t="inlineStr">
        <is>
          <t xml:space="preserve">    Order Batch 3 (Beilageplan)(26_1.3 &amp; BP_B2 kompl.)</t>
        </is>
      </c>
      <c r="B54" s="49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48" t="n"/>
      <c r="Q54" s="47" t="n"/>
      <c r="R54" s="9" t="n"/>
      <c r="S54" s="10" t="n"/>
      <c r="T54" s="46" t="n"/>
      <c r="U54" s="47" t="n"/>
      <c r="V54" s="9" t="n"/>
      <c r="W54" s="10" t="n"/>
      <c r="X54" s="9" t="n"/>
      <c r="Y54" s="10" t="n"/>
      <c r="Z54" s="33" t="n"/>
      <c r="AA54" s="34" t="n"/>
      <c r="AB54" s="33" t="n"/>
      <c r="AC54" s="35" t="n"/>
      <c r="AD54" s="49" t="inlineStr">
        <is>
          <t>X</t>
        </is>
      </c>
      <c r="AE54" s="31" t="n"/>
      <c r="AF54" s="9" t="n"/>
      <c r="AG54" s="10" t="n"/>
      <c r="AH54" s="9" t="n"/>
      <c r="AI54" s="10" t="n"/>
      <c r="AJ54" s="46" t="n"/>
      <c r="AK54" s="47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67" t="inlineStr">
        <is>
          <t xml:space="preserve">    Order Batch 4 (Beilageplan)()</t>
        </is>
      </c>
      <c r="B55" s="49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48" t="n"/>
      <c r="Q55" s="47" t="n"/>
      <c r="R55" s="9" t="n"/>
      <c r="S55" s="10" t="n"/>
      <c r="T55" s="46" t="n"/>
      <c r="U55" s="47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46" t="n"/>
      <c r="AK55" s="47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67" t="n"/>
      <c r="B56" s="49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48" t="n"/>
      <c r="Q56" s="47" t="n"/>
      <c r="R56" s="9" t="n"/>
      <c r="S56" s="10" t="n"/>
      <c r="T56" s="46" t="n"/>
      <c r="U56" s="47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46" t="n"/>
      <c r="AK56" s="47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n"/>
      <c r="B57" s="49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48" t="n"/>
      <c r="Q57" s="47" t="n"/>
      <c r="R57" s="9" t="n"/>
      <c r="S57" s="10" t="n"/>
      <c r="T57" s="46" t="n"/>
      <c r="U57" s="47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46" t="n"/>
      <c r="AK57" s="47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8" t="n"/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48" t="n"/>
      <c r="Q58" s="47" t="n"/>
      <c r="R58" s="9" t="n"/>
      <c r="S58" s="10" t="n"/>
      <c r="T58" s="46" t="n"/>
      <c r="U58" s="47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46" t="n"/>
      <c r="AK58" s="47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5" t="inlineStr">
        <is>
          <t xml:space="preserve">  Vormontage (Vorbehalt und Koordination gem. Mike)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4" t="n"/>
      <c r="P59" s="48" t="n"/>
      <c r="Q59" s="47" t="n"/>
      <c r="R59" s="9" t="n"/>
      <c r="S59" s="10" t="n"/>
      <c r="T59" s="46" t="n"/>
      <c r="U59" s="47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46" t="n"/>
      <c r="AK59" s="47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6" t="inlineStr">
        <is>
          <t>Batch 1 komplett vormontiert</t>
        </is>
      </c>
      <c r="B60" s="70" t="n"/>
      <c r="C60" s="55" t="n"/>
      <c r="D60" s="56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4" t="n"/>
      <c r="P60" s="48" t="n"/>
      <c r="Q60" s="47" t="n"/>
      <c r="R60" s="9" t="n"/>
      <c r="S60" s="10" t="n"/>
      <c r="T60" s="46" t="n"/>
      <c r="U60" s="47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46" t="n"/>
      <c r="AK60" s="47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inlineStr">
        <is>
          <t xml:space="preserve">  26_BP_B_1 (Beilageplan)</t>
        </is>
      </c>
      <c r="B61" s="32" t="n"/>
      <c r="C61" s="31" t="n"/>
      <c r="D61" s="9" t="n"/>
      <c r="E61" s="10" t="n"/>
      <c r="F61" s="9" t="n"/>
      <c r="G61" s="10" t="n"/>
      <c r="H61" s="9" t="n"/>
      <c r="I61" s="10" t="n"/>
      <c r="J61" s="56" t="n"/>
      <c r="K61" s="55" t="n"/>
      <c r="L61" s="33" t="n"/>
      <c r="M61" s="34" t="n"/>
      <c r="N61" s="33" t="n"/>
      <c r="O61" s="35" t="n"/>
      <c r="P61" s="48" t="n"/>
      <c r="Q61" s="47" t="n"/>
      <c r="R61" s="9" t="n"/>
      <c r="S61" s="10" t="n"/>
      <c r="T61" s="46" t="n"/>
      <c r="U61" s="47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46" t="n"/>
      <c r="AK61" s="47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inlineStr">
        <is>
          <t xml:space="preserve">  26_1.1 gem Mike</t>
        </is>
      </c>
      <c r="B62" s="32" t="n"/>
      <c r="C62" s="10" t="n"/>
      <c r="D62" s="9" t="n"/>
      <c r="E62" s="10" t="n"/>
      <c r="F62" s="56" t="n"/>
      <c r="G62" s="55" t="n"/>
      <c r="H62" s="56" t="n"/>
      <c r="I62" s="55" t="n"/>
      <c r="J62" s="9" t="n"/>
      <c r="K62" s="10" t="n"/>
      <c r="L62" s="33" t="n"/>
      <c r="M62" s="34" t="n"/>
      <c r="N62" s="33" t="n"/>
      <c r="O62" s="35" t="n"/>
      <c r="P62" s="48" t="n"/>
      <c r="Q62" s="47" t="n"/>
      <c r="R62" s="9" t="n"/>
      <c r="S62" s="10" t="n"/>
      <c r="T62" s="46" t="n"/>
      <c r="U62" s="47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46" t="n"/>
      <c r="AK62" s="47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inlineStr">
        <is>
          <t xml:space="preserve">  26_1.2 gem Mike</t>
        </is>
      </c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48" t="n"/>
      <c r="Q63" s="47" t="n"/>
      <c r="R63" s="56" t="n"/>
      <c r="S63" s="55" t="n"/>
      <c r="T63" s="46" t="n"/>
      <c r="U63" s="47" t="n"/>
      <c r="V63" s="56" t="n"/>
      <c r="W63" s="55" t="n"/>
      <c r="X63" s="9" t="n"/>
      <c r="Y63" s="10" t="n"/>
      <c r="Z63" s="33" t="n"/>
      <c r="AA63" s="34" t="n"/>
      <c r="AB63" s="33" t="n"/>
      <c r="AC63" s="35" t="n"/>
      <c r="AD63" s="9" t="n"/>
      <c r="AE63" s="10" t="n"/>
      <c r="AF63" s="9" t="n"/>
      <c r="AG63" s="10" t="n"/>
      <c r="AH63" s="9" t="n"/>
      <c r="AI63" s="10" t="n"/>
      <c r="AJ63" s="46" t="n"/>
      <c r="AK63" s="47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6" t="n"/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48" t="n"/>
      <c r="Q64" s="47" t="n"/>
      <c r="R64" s="9" t="n"/>
      <c r="S64" s="10" t="n"/>
      <c r="T64" s="46" t="n"/>
      <c r="U64" s="47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46" t="n"/>
      <c r="AK64" s="47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6" t="n"/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48" t="n"/>
      <c r="Q65" s="47" t="n"/>
      <c r="R65" s="9" t="n"/>
      <c r="S65" s="10" t="n"/>
      <c r="T65" s="46" t="n"/>
      <c r="U65" s="47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46" t="n"/>
      <c r="AK65" s="47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5" t="inlineStr">
        <is>
          <t xml:space="preserve">  Stahlbau Berg (5 Tische pro Tag, 0.13Pr, 0.06Mt)</t>
        </is>
      </c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4" t="n"/>
      <c r="P66" s="48" t="n"/>
      <c r="Q66" s="47" t="n"/>
      <c r="R66" s="9" t="n"/>
      <c r="S66" s="10" t="n"/>
      <c r="T66" s="46" t="n"/>
      <c r="U66" s="47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46" t="n"/>
      <c r="AK66" s="47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Primaerkonstruktionen</t>
        </is>
      </c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48" t="n"/>
      <c r="Q67" s="47" t="n"/>
      <c r="R67" s="9" t="n"/>
      <c r="S67" s="10" t="n"/>
      <c r="T67" s="46" t="n"/>
      <c r="U67" s="47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46" t="n"/>
      <c r="AK67" s="47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26_BP_B_1 (9 Stk)(Beilageplan)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48" t="n"/>
      <c r="Q68" s="47" t="n"/>
      <c r="R68" s="9" t="n"/>
      <c r="S68" s="52" t="n"/>
      <c r="T68" s="46" t="n"/>
      <c r="U68" s="47" t="n"/>
      <c r="V68" s="10" t="n"/>
      <c r="W68" s="10" t="inlineStr">
        <is>
          <t>A</t>
        </is>
      </c>
      <c r="X68" s="9" t="n"/>
      <c r="Y68" s="10" t="inlineStr">
        <is>
          <t>E</t>
        </is>
      </c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46" t="n"/>
      <c r="AK68" s="47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26_1.1 (17 B |36 Mt)(Beilageplan)(2178 S2 wechseln)</t>
        </is>
      </c>
      <c r="B69" s="32" t="n"/>
      <c r="C69" s="31" t="n"/>
      <c r="D69" s="52" t="n"/>
      <c r="E69" s="22" t="n"/>
      <c r="F69" s="9" t="n"/>
      <c r="G69" s="10" t="n"/>
      <c r="H69" s="52" t="n"/>
      <c r="I69" s="22" t="n"/>
      <c r="J69" s="9" t="n"/>
      <c r="K69" s="10" t="n"/>
      <c r="L69" s="33" t="n"/>
      <c r="M69" s="34" t="n"/>
      <c r="N69" s="33" t="n"/>
      <c r="O69" s="35" t="n"/>
      <c r="P69" s="48" t="n"/>
      <c r="Q69" s="47" t="n"/>
      <c r="R69" s="9" t="inlineStr">
        <is>
          <t>A</t>
        </is>
      </c>
      <c r="S69" s="10" t="n"/>
      <c r="T69" s="46" t="n"/>
      <c r="U69" s="47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46" t="n"/>
      <c r="AK69" s="47" t="n"/>
      <c r="AL69" s="9" t="n"/>
      <c r="AM69" s="10" t="inlineStr">
        <is>
          <t>E</t>
        </is>
      </c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26_1.2 (17 B | 3 E | 36 Mt)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48" t="n"/>
      <c r="Q70" s="47" t="n"/>
      <c r="R70" s="9" t="n"/>
      <c r="S70" s="10" t="n"/>
      <c r="T70" s="46" t="n"/>
      <c r="U70" s="47" t="n"/>
      <c r="V70" s="9" t="n"/>
      <c r="W70" s="10" t="n"/>
      <c r="X70" s="22" t="n"/>
      <c r="Y70" s="22" t="n"/>
      <c r="Z70" s="33" t="n"/>
      <c r="AA70" s="34" t="n"/>
      <c r="AB70" s="33" t="n"/>
      <c r="AC70" s="35" t="n"/>
      <c r="AD70" s="21" t="n"/>
      <c r="AE70" s="22" t="n"/>
      <c r="AF70" s="52" t="n"/>
      <c r="AG70" s="22" t="n"/>
      <c r="AH70" s="9" t="n"/>
      <c r="AI70" s="10" t="n"/>
      <c r="AJ70" s="46" t="n"/>
      <c r="AK70" s="47" t="n"/>
      <c r="AL70" s="9" t="n"/>
      <c r="AM70" s="10" t="n"/>
      <c r="AN70" s="33" t="n"/>
      <c r="AO70" s="34" t="n"/>
      <c r="AP70" s="33" t="n"/>
      <c r="AQ70" s="35" t="n"/>
      <c r="AR70" s="32" t="inlineStr">
        <is>
          <t>A</t>
        </is>
      </c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inlineStr">
        <is>
          <t>E</t>
        </is>
      </c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26_1.3 (3 B | 12 E | 29 Mt)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48" t="n"/>
      <c r="Q71" s="47" t="n"/>
      <c r="R71" s="9" t="n"/>
      <c r="S71" s="10" t="n"/>
      <c r="T71" s="46" t="n"/>
      <c r="U71" s="47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46" t="n"/>
      <c r="AK71" s="47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inlineStr">
        <is>
          <t>A</t>
        </is>
      </c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26_BP_B_2 (9 Stk)(Beilageplan)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48" t="n"/>
      <c r="Q72" s="47" t="n"/>
      <c r="R72" s="9" t="n"/>
      <c r="S72" s="10" t="n"/>
      <c r="T72" s="46" t="n"/>
      <c r="U72" s="47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46" t="n"/>
      <c r="AK72" s="47" t="n"/>
      <c r="AL72" s="9" t="n"/>
      <c r="AM72" s="10" t="n"/>
      <c r="AN72" s="33" t="n"/>
      <c r="AO72" s="34" t="n"/>
      <c r="AP72" s="33" t="n"/>
      <c r="AQ72" s="35" t="n"/>
      <c r="AR72" s="9" t="n"/>
      <c r="AS72" s="10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inlineStr">
        <is>
          <t>A</t>
        </is>
      </c>
      <c r="BG72" s="31" t="n"/>
      <c r="BH72" s="9" t="n"/>
      <c r="BI72" s="10" t="n"/>
      <c r="BJ72" s="9" t="n"/>
      <c r="BK72" s="10" t="inlineStr">
        <is>
          <t>E</t>
        </is>
      </c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48" t="n"/>
      <c r="Q73" s="47" t="n"/>
      <c r="R73" s="9" t="n"/>
      <c r="S73" s="10" t="n"/>
      <c r="T73" s="46" t="n"/>
      <c r="U73" s="47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46" t="n"/>
      <c r="AK73" s="47" t="n"/>
      <c r="AL73" s="9" t="n"/>
      <c r="AM73" s="10" t="n"/>
      <c r="AN73" s="33" t="n"/>
      <c r="AO73" s="34" t="n"/>
      <c r="AP73" s="33" t="n"/>
      <c r="AQ73" s="35" t="n"/>
      <c r="AR73" s="9" t="n"/>
      <c r="AS73" s="10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26_2.1 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48" t="n"/>
      <c r="Q74" s="47" t="n"/>
      <c r="R74" s="9" t="n"/>
      <c r="S74" s="10" t="n"/>
      <c r="T74" s="46" t="n"/>
      <c r="U74" s="47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46" t="n"/>
      <c r="AK74" s="47" t="n"/>
      <c r="AL74" s="9" t="n"/>
      <c r="AM74" s="10" t="n"/>
      <c r="AN74" s="33" t="n"/>
      <c r="AO74" s="34" t="n"/>
      <c r="AP74" s="33" t="n"/>
      <c r="AQ74" s="35" t="n"/>
      <c r="AR74" s="9" t="n"/>
      <c r="AS74" s="10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26_2.2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48" t="n"/>
      <c r="Q75" s="47" t="n"/>
      <c r="R75" s="9" t="n"/>
      <c r="S75" s="10" t="n"/>
      <c r="T75" s="46" t="n"/>
      <c r="U75" s="47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46" t="n"/>
      <c r="AK75" s="47" t="n"/>
      <c r="AL75" s="9" t="n"/>
      <c r="AM75" s="10" t="n"/>
      <c r="AN75" s="33" t="n"/>
      <c r="AO75" s="34" t="n"/>
      <c r="AP75" s="33" t="n"/>
      <c r="AQ75" s="35" t="n"/>
      <c r="AR75" s="9" t="n"/>
      <c r="AS75" s="10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66" t="inlineStr">
        <is>
          <t xml:space="preserve">    26_3.1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48" t="n"/>
      <c r="Q76" s="47" t="n"/>
      <c r="R76" s="9" t="n"/>
      <c r="S76" s="10" t="n"/>
      <c r="T76" s="46" t="n"/>
      <c r="U76" s="47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46" t="n"/>
      <c r="AK76" s="47" t="n"/>
      <c r="AL76" s="9" t="n"/>
      <c r="AM76" s="10" t="n"/>
      <c r="AN76" s="33" t="n"/>
      <c r="AO76" s="34" t="n"/>
      <c r="AP76" s="33" t="n"/>
      <c r="AQ76" s="35" t="n"/>
      <c r="AR76" s="9" t="n"/>
      <c r="AS76" s="10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48" t="n"/>
      <c r="Q77" s="47" t="n"/>
      <c r="R77" s="9" t="n"/>
      <c r="S77" s="10" t="n"/>
      <c r="T77" s="46" t="n"/>
      <c r="U77" s="47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46" t="n"/>
      <c r="AK77" s="47" t="n"/>
      <c r="AL77" s="9" t="n"/>
      <c r="AM77" s="10" t="n"/>
      <c r="AN77" s="33" t="n"/>
      <c r="AO77" s="34" t="n"/>
      <c r="AP77" s="33" t="n"/>
      <c r="AQ77" s="35" t="n"/>
      <c r="AR77" s="9" t="n"/>
      <c r="AS77" s="10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inlineStr">
        <is>
          <t xml:space="preserve">  Pfahlkopfplatten BP_B1 montieren</t>
        </is>
      </c>
      <c r="B78" s="32" t="n"/>
      <c r="C78" s="31" t="n"/>
      <c r="D78" s="9" t="n"/>
      <c r="E78" s="10" t="n"/>
      <c r="F78" s="9" t="n"/>
      <c r="G78" s="10" t="n"/>
      <c r="H78" s="62" t="n"/>
      <c r="I78" s="63" t="n"/>
      <c r="J78" s="62" t="n"/>
      <c r="K78" s="63" t="n"/>
      <c r="L78" s="33" t="n"/>
      <c r="M78" s="34" t="n"/>
      <c r="N78" s="33" t="n"/>
      <c r="O78" s="35" t="n"/>
      <c r="P78" s="48" t="n"/>
      <c r="Q78" s="47" t="n"/>
      <c r="R78" s="9" t="n"/>
      <c r="S78" s="10" t="n"/>
      <c r="T78" s="46" t="n"/>
      <c r="U78" s="47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46" t="n"/>
      <c r="AK78" s="47" t="n"/>
      <c r="AL78" s="9" t="n"/>
      <c r="AM78" s="10" t="n"/>
      <c r="AN78" s="33" t="n"/>
      <c r="AO78" s="34" t="n"/>
      <c r="AP78" s="33" t="n"/>
      <c r="AQ78" s="35" t="n"/>
      <c r="AR78" s="9" t="n"/>
      <c r="AS78" s="10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6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48" t="n"/>
      <c r="Q79" s="47" t="n"/>
      <c r="R79" s="9" t="n"/>
      <c r="S79" s="10" t="n"/>
      <c r="T79" s="46" t="n"/>
      <c r="U79" s="47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46" t="n"/>
      <c r="AK79" s="47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48" t="n"/>
      <c r="Q80" s="47" t="n"/>
      <c r="R80" s="9" t="n"/>
      <c r="S80" s="10" t="n"/>
      <c r="T80" s="46" t="n"/>
      <c r="U80" s="47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46" t="n"/>
      <c r="AK80" s="47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5" t="inlineStr">
        <is>
          <t xml:space="preserve">    Modulträger [für Montage notwendige ID's]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48" t="n"/>
      <c r="Q81" s="47" t="n"/>
      <c r="R81" s="9" t="n"/>
      <c r="S81" s="10" t="n"/>
      <c r="T81" s="46" t="n"/>
      <c r="U81" s="47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46" t="n"/>
      <c r="AK81" s="47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inlineStr">
        <is>
          <t xml:space="preserve">    Modulträgerstapel Nummern montieren</t>
        </is>
      </c>
      <c r="B82" s="32" t="n"/>
      <c r="C82" s="31" t="n"/>
      <c r="D82" s="62" t="n"/>
      <c r="E82" s="63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48" t="n"/>
      <c r="Q82" s="47" t="n"/>
      <c r="R82" s="9" t="n"/>
      <c r="S82" s="10" t="n"/>
      <c r="T82" s="46" t="n"/>
      <c r="U82" s="47" t="n"/>
      <c r="V82" s="208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46" t="n"/>
      <c r="AK82" s="47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inlineStr">
        <is>
          <t xml:space="preserve">    Stapel 30 (Baupiste)(Beilageplan)</t>
        </is>
      </c>
      <c r="B83" s="32" t="n"/>
      <c r="C83" s="31" t="n"/>
      <c r="D83" s="9" t="n"/>
      <c r="E83" s="10" t="n"/>
      <c r="F83" s="9" t="n"/>
      <c r="G83" s="10" t="n"/>
      <c r="H83" s="30" t="n"/>
      <c r="I83" s="31" t="n"/>
      <c r="J83" s="9" t="n"/>
      <c r="K83" s="10" t="n"/>
      <c r="L83" s="33" t="n"/>
      <c r="M83" s="34" t="n"/>
      <c r="N83" s="33" t="n"/>
      <c r="O83" s="35" t="n"/>
      <c r="P83" s="48" t="n"/>
      <c r="Q83" s="47" t="n"/>
      <c r="R83" s="9" t="n"/>
      <c r="S83" s="10" t="n"/>
      <c r="T83" s="46" t="n"/>
      <c r="U83" s="47" t="n"/>
      <c r="V83" s="51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46" t="n"/>
      <c r="AK83" s="47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66" t="inlineStr">
        <is>
          <t xml:space="preserve">    Stapel 28 (-)(Beilageplan)[534, 510, 533, 2159]</t>
        </is>
      </c>
      <c r="B84" s="32" t="n"/>
      <c r="C84" s="31" t="n"/>
      <c r="D84" s="9" t="n"/>
      <c r="E84" s="10" t="n"/>
      <c r="F84" s="57" t="n"/>
      <c r="G84" s="51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48" t="n"/>
      <c r="Q84" s="47" t="n"/>
      <c r="R84" s="9" t="n"/>
      <c r="S84" s="10" t="n"/>
      <c r="T84" s="46" t="n"/>
      <c r="U84" s="47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46" t="n"/>
      <c r="AK84" s="47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66" t="inlineStr">
        <is>
          <t xml:space="preserve">    Stapel 29 (-)(Beilageplan)[1613,512,535,511]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57" t="n"/>
      <c r="K85" s="10" t="n"/>
      <c r="L85" s="33" t="n"/>
      <c r="M85" s="34" t="n"/>
      <c r="N85" s="33" t="n"/>
      <c r="O85" s="35" t="n"/>
      <c r="P85" s="48" t="n"/>
      <c r="Q85" s="47" t="n"/>
      <c r="R85" s="9" t="n"/>
      <c r="S85" s="10" t="n"/>
      <c r="T85" s="46" t="n"/>
      <c r="U85" s="47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46" t="n"/>
      <c r="AK85" s="47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66" t="inlineStr">
        <is>
          <t xml:space="preserve">    Stapel 31 (-)(Beilageplan)[333,353,1644,394,416]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51" t="n"/>
      <c r="L86" s="33" t="n"/>
      <c r="M86" s="34" t="n"/>
      <c r="N86" s="33" t="n"/>
      <c r="O86" s="35" t="n"/>
      <c r="P86" s="48" t="n"/>
      <c r="Q86" s="47" t="n"/>
      <c r="R86" s="9" t="n"/>
      <c r="S86" s="10" t="n"/>
      <c r="T86" s="46" t="n"/>
      <c r="U86" s="47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46" t="n"/>
      <c r="AK86" s="47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66" t="inlineStr">
        <is>
          <t xml:space="preserve">    Stapel 32 (-)(26_1.1 und 26_1.2)[in Batch 2]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48" t="n"/>
      <c r="Q87" s="47" t="n"/>
      <c r="R87" s="9" t="n"/>
      <c r="S87" s="10" t="n"/>
      <c r="T87" s="46" t="n"/>
      <c r="U87" s="47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57" t="n"/>
      <c r="AI87" s="51" t="n"/>
      <c r="AJ87" s="46" t="n"/>
      <c r="AK87" s="47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66" t="inlineStr">
        <is>
          <t xml:space="preserve">    Stapel 33 (-)(26_1.1 und 26_1.2)[in Batch 2]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48" t="n"/>
      <c r="Q88" s="47" t="n"/>
      <c r="R88" s="9" t="n"/>
      <c r="S88" s="10" t="n"/>
      <c r="T88" s="46" t="n"/>
      <c r="U88" s="47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46" t="n"/>
      <c r="AK88" s="47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66" t="inlineStr">
        <is>
          <t xml:space="preserve">    Stapel 34 (-)(26_1.1 und 26_1.2)[in Batch 2]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48" t="n"/>
      <c r="Q89" s="47" t="n"/>
      <c r="R89" s="9" t="n"/>
      <c r="S89" s="10" t="n"/>
      <c r="T89" s="46" t="n"/>
      <c r="U89" s="47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46" t="n"/>
      <c r="AK89" s="47" t="n"/>
      <c r="AL89" s="57" t="n"/>
      <c r="AM89" s="51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48" t="n"/>
      <c r="Q90" s="47" t="n"/>
      <c r="R90" s="9" t="n"/>
      <c r="S90" s="10" t="n"/>
      <c r="T90" s="46" t="n"/>
      <c r="U90" s="47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46" t="n"/>
      <c r="AK90" s="47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8" t="inlineStr">
        <is>
          <t>Erdbau</t>
        </is>
      </c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48" t="n"/>
      <c r="Q91" s="47" t="n"/>
      <c r="R91" s="9" t="n"/>
      <c r="S91" s="10" t="n"/>
      <c r="T91" s="46" t="n"/>
      <c r="U91" s="47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46" t="n"/>
      <c r="AK91" s="47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5" t="inlineStr">
        <is>
          <t xml:space="preserve">  Sondage Technikgemäude Wasser</t>
        </is>
      </c>
      <c r="B92" s="41" t="n"/>
      <c r="C92" s="42" t="n"/>
      <c r="D92" s="58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48" t="n"/>
      <c r="Q92" s="47" t="n"/>
      <c r="R92" s="9" t="n"/>
      <c r="S92" s="10" t="n"/>
      <c r="T92" s="46" t="n"/>
      <c r="U92" s="47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46" t="n"/>
      <c r="AK92" s="47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5" t="inlineStr">
        <is>
          <t xml:space="preserve">  Blocksteinmauer Nord Technikgebäude</t>
        </is>
      </c>
      <c r="B93" s="59" t="n"/>
      <c r="C93" s="10" t="n"/>
      <c r="D93" s="58" t="n"/>
      <c r="E93" s="42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48" t="n"/>
      <c r="Q93" s="47" t="n"/>
      <c r="R93" s="9" t="n"/>
      <c r="S93" s="10" t="n"/>
      <c r="T93" s="46" t="n"/>
      <c r="U93" s="47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46" t="n"/>
      <c r="AK93" s="47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5" t="inlineStr">
        <is>
          <t xml:space="preserve">  Blocksteinmauer Süd Technikgebäude</t>
        </is>
      </c>
      <c r="B94" s="32" t="n"/>
      <c r="C94" s="31" t="n"/>
      <c r="D94" s="9" t="n"/>
      <c r="E94" s="42" t="n"/>
      <c r="F94" s="58" t="n"/>
      <c r="G94" s="42" t="n"/>
      <c r="H94" s="58" t="n"/>
      <c r="I94" s="10" t="n"/>
      <c r="J94" s="9" t="n"/>
      <c r="K94" s="10" t="n"/>
      <c r="L94" s="33" t="n"/>
      <c r="M94" s="34" t="n"/>
      <c r="N94" s="33" t="n"/>
      <c r="O94" s="35" t="n"/>
      <c r="P94" s="48" t="n"/>
      <c r="Q94" s="47" t="n"/>
      <c r="R94" s="9" t="n"/>
      <c r="S94" s="10" t="n"/>
      <c r="T94" s="46" t="n"/>
      <c r="U94" s="47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46" t="n"/>
      <c r="AK94" s="47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45" t="inlineStr">
        <is>
          <t xml:space="preserve">  Baupiste B1 Auffüllen Menzimuk</t>
        </is>
      </c>
      <c r="B95" s="59" t="n"/>
      <c r="C95" s="10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48" t="n"/>
      <c r="Q95" s="47" t="n"/>
      <c r="R95" s="58" t="n"/>
      <c r="S95" s="42" t="n"/>
      <c r="T95" s="46" t="n"/>
      <c r="U95" s="47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46" t="n"/>
      <c r="AK95" s="47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45" t="inlineStr">
        <is>
          <t xml:space="preserve">  Rückbau Baupiste B2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48" t="n"/>
      <c r="Q96" s="47" t="n"/>
      <c r="R96" s="9" t="n"/>
      <c r="S96" s="10" t="n"/>
      <c r="T96" s="46" t="n"/>
      <c r="U96" s="47" t="n"/>
      <c r="V96" s="9" t="n"/>
      <c r="W96" s="10" t="n"/>
      <c r="X96" s="58" t="n"/>
      <c r="Y96" s="42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46" t="n"/>
      <c r="AK96" s="47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45" t="inlineStr">
        <is>
          <t xml:space="preserve">  Feinverteilung 26_2.1</t>
        </is>
      </c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3" t="n"/>
      <c r="M97" s="34" t="n"/>
      <c r="N97" s="33" t="n"/>
      <c r="O97" s="35" t="n"/>
      <c r="P97" s="48" t="n"/>
      <c r="Q97" s="47" t="n"/>
      <c r="R97" s="9" t="n"/>
      <c r="S97" s="10" t="n"/>
      <c r="T97" s="46" t="n"/>
      <c r="U97" s="47" t="n"/>
      <c r="V97" s="9" t="n"/>
      <c r="W97" s="42" t="n"/>
      <c r="X97" s="9" t="n"/>
      <c r="Y97" s="10" t="n"/>
      <c r="Z97" s="33" t="n"/>
      <c r="AA97" s="34" t="n"/>
      <c r="AB97" s="33" t="n"/>
      <c r="AC97" s="35" t="n"/>
      <c r="AD97" s="32" t="n"/>
      <c r="AE97" s="31" t="n"/>
      <c r="AF97" s="9" t="n"/>
      <c r="AG97" s="10" t="n"/>
      <c r="AH97" s="9" t="n"/>
      <c r="AI97" s="10" t="n"/>
      <c r="AJ97" s="46" t="n"/>
      <c r="AK97" s="47" t="n"/>
      <c r="AL97" s="9" t="n"/>
      <c r="AM97" s="10" t="n"/>
      <c r="AN97" s="33" t="n"/>
      <c r="AO97" s="34" t="n"/>
      <c r="AP97" s="33" t="n"/>
      <c r="AQ97" s="35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3" t="n"/>
      <c r="BC97" s="34" t="n"/>
      <c r="BD97" s="33" t="n"/>
      <c r="BE97" s="35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45" t="inlineStr">
        <is>
          <t xml:space="preserve">  Feinverteilung 26_?</t>
        </is>
      </c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3" t="n"/>
      <c r="M98" s="34" t="n"/>
      <c r="N98" s="33" t="n"/>
      <c r="O98" s="35" t="n"/>
      <c r="P98" s="48" t="n"/>
      <c r="Q98" s="47" t="n"/>
      <c r="R98" s="9" t="n"/>
      <c r="S98" s="10" t="n"/>
      <c r="T98" s="46" t="n"/>
      <c r="U98" s="47" t="n"/>
      <c r="V98" s="9" t="n"/>
      <c r="W98" s="10" t="n"/>
      <c r="X98" s="9" t="n"/>
      <c r="Y98" s="10" t="n"/>
      <c r="Z98" s="33" t="n"/>
      <c r="AA98" s="34" t="n"/>
      <c r="AB98" s="33" t="n"/>
      <c r="AC98" s="35" t="n"/>
      <c r="AD98" s="41" t="n"/>
      <c r="AE98" s="42" t="n"/>
      <c r="AF98" s="9" t="n"/>
      <c r="AG98" s="10" t="n"/>
      <c r="AH98" s="9" t="n"/>
      <c r="AI98" s="10" t="n"/>
      <c r="AJ98" s="46" t="n"/>
      <c r="AK98" s="47" t="n"/>
      <c r="AL98" s="9" t="n"/>
      <c r="AM98" s="10" t="n"/>
      <c r="AN98" s="33" t="n"/>
      <c r="AO98" s="34" t="n"/>
      <c r="AP98" s="33" t="n"/>
      <c r="AQ98" s="35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3" t="n"/>
      <c r="BC98" s="34" t="n"/>
      <c r="BD98" s="33" t="n"/>
      <c r="BE98" s="35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45" t="inlineStr">
        <is>
          <t xml:space="preserve">  Baupiste C + Abzweiger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3" t="n"/>
      <c r="M99" s="34" t="n"/>
      <c r="N99" s="33" t="n"/>
      <c r="O99" s="35" t="n"/>
      <c r="P99" s="48" t="n"/>
      <c r="Q99" s="47" t="n"/>
      <c r="R99" s="9" t="n"/>
      <c r="S99" s="10" t="n"/>
      <c r="T99" s="46" t="n"/>
      <c r="U99" s="47" t="n"/>
      <c r="V99" s="9" t="n"/>
      <c r="W99" s="10" t="n"/>
      <c r="Y99" s="10" t="n"/>
      <c r="Z99" s="33" t="n"/>
      <c r="AA99" s="34" t="n"/>
      <c r="AB99" s="33" t="n"/>
      <c r="AC99" s="35" t="n"/>
      <c r="AD99" s="32" t="n"/>
      <c r="AE99" s="31" t="n"/>
      <c r="AF99" s="58" t="n"/>
      <c r="AG99" s="42" t="n"/>
      <c r="AH99" s="58" t="n"/>
      <c r="AI99" s="42" t="n"/>
      <c r="AJ99" s="46" t="n"/>
      <c r="AK99" s="47" t="n"/>
      <c r="AL99" s="58" t="n"/>
      <c r="AM99" s="42" t="n"/>
      <c r="AN99" s="33" t="n"/>
      <c r="AO99" s="34" t="n"/>
      <c r="AP99" s="33" t="n"/>
      <c r="AQ99" s="35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3" t="n"/>
      <c r="BC99" s="34" t="n"/>
      <c r="BD99" s="33" t="n"/>
      <c r="BE99" s="35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45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3" t="n"/>
      <c r="M100" s="34" t="n"/>
      <c r="N100" s="33" t="n"/>
      <c r="O100" s="35" t="n"/>
      <c r="P100" s="48" t="n"/>
      <c r="Q100" s="47" t="n"/>
      <c r="R100" s="9" t="n"/>
      <c r="S100" s="10" t="n"/>
      <c r="T100" s="46" t="n"/>
      <c r="U100" s="47" t="n"/>
      <c r="V100" s="9" t="n"/>
      <c r="W100" s="10" t="n"/>
      <c r="X100" s="9" t="n"/>
      <c r="Y100" s="10" t="n"/>
      <c r="Z100" s="33" t="n"/>
      <c r="AA100" s="34" t="n"/>
      <c r="AB100" s="33" t="n"/>
      <c r="AC100" s="35" t="n"/>
      <c r="AD100" s="32" t="n"/>
      <c r="AE100" s="31" t="n"/>
      <c r="AF100" s="9" t="n"/>
      <c r="AG100" s="10" t="n"/>
      <c r="AH100" s="9" t="n"/>
      <c r="AI100" s="10" t="n"/>
      <c r="AJ100" s="46" t="n"/>
      <c r="AK100" s="47" t="n"/>
      <c r="AL100" s="9" t="n"/>
      <c r="AM100" s="10" t="n"/>
      <c r="AN100" s="33" t="n"/>
      <c r="AO100" s="34" t="n"/>
      <c r="AP100" s="33" t="n"/>
      <c r="AQ100" s="35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3" t="n"/>
      <c r="BC100" s="34" t="n"/>
      <c r="BD100" s="33" t="n"/>
      <c r="BE100" s="35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8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3" t="n"/>
      <c r="M101" s="34" t="n"/>
      <c r="N101" s="33" t="n"/>
      <c r="O101" s="35" t="n"/>
      <c r="P101" s="48" t="n"/>
      <c r="Q101" s="47" t="n"/>
      <c r="R101" s="9" t="n"/>
      <c r="S101" s="10" t="n"/>
      <c r="T101" s="46" t="n"/>
      <c r="U101" s="47" t="n"/>
      <c r="V101" s="9" t="n"/>
      <c r="W101" s="10" t="n"/>
      <c r="X101" s="9" t="n"/>
      <c r="Y101" s="10" t="n"/>
      <c r="Z101" s="33" t="n"/>
      <c r="AA101" s="34" t="n"/>
      <c r="AB101" s="33" t="n"/>
      <c r="AC101" s="35" t="n"/>
      <c r="AD101" s="32" t="n"/>
      <c r="AE101" s="31" t="n"/>
      <c r="AF101" s="9" t="n"/>
      <c r="AG101" s="10" t="n"/>
      <c r="AH101" s="9" t="n"/>
      <c r="AI101" s="10" t="n"/>
      <c r="AJ101" s="46" t="n"/>
      <c r="AK101" s="47" t="n"/>
      <c r="AL101" s="9" t="n"/>
      <c r="AM101" s="10" t="n"/>
      <c r="AN101" s="33" t="n"/>
      <c r="AO101" s="34" t="n"/>
      <c r="AP101" s="33" t="n"/>
      <c r="AQ101" s="35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3" t="n"/>
      <c r="BC101" s="34" t="n"/>
      <c r="BD101" s="33" t="n"/>
      <c r="BE101" s="35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65" t="inlineStr">
        <is>
          <t>Kleinpendenzen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3" t="n"/>
      <c r="M102" s="34" t="n"/>
      <c r="N102" s="33" t="n"/>
      <c r="O102" s="35" t="n"/>
      <c r="P102" s="48" t="n"/>
      <c r="Q102" s="47" t="n"/>
      <c r="R102" s="9" t="n"/>
      <c r="S102" s="10" t="n"/>
      <c r="T102" s="46" t="n"/>
      <c r="U102" s="47" t="n"/>
      <c r="V102" s="9" t="n"/>
      <c r="W102" s="10" t="n"/>
      <c r="X102" s="9" t="n"/>
      <c r="Y102" s="10" t="n"/>
      <c r="Z102" s="33" t="n"/>
      <c r="AA102" s="34" t="n"/>
      <c r="AB102" s="33" t="n"/>
      <c r="AC102" s="35" t="n"/>
      <c r="AD102" s="32" t="n"/>
      <c r="AE102" s="31" t="n"/>
      <c r="AF102" s="9" t="n"/>
      <c r="AG102" s="10" t="n"/>
      <c r="AH102" s="9" t="n"/>
      <c r="AI102" s="10" t="n"/>
      <c r="AJ102" s="46" t="n"/>
      <c r="AK102" s="47" t="n"/>
      <c r="AL102" s="9" t="n"/>
      <c r="AM102" s="10" t="n"/>
      <c r="AN102" s="33" t="n"/>
      <c r="AO102" s="34" t="n"/>
      <c r="AP102" s="33" t="n"/>
      <c r="AQ102" s="35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3" t="n"/>
      <c r="BC102" s="34" t="n"/>
      <c r="BD102" s="33" t="n"/>
      <c r="BE102" s="35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65" t="inlineStr">
        <is>
          <t xml:space="preserve">    Unterweisen Datenschutz (Formular Poliercontainer)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3" t="n"/>
      <c r="M103" s="34" t="n"/>
      <c r="N103" s="33" t="n"/>
      <c r="O103" s="35" t="n"/>
      <c r="P103" s="48" t="n"/>
      <c r="Q103" s="47" t="n"/>
      <c r="R103" s="9" t="n"/>
      <c r="S103" s="10" t="n"/>
      <c r="T103" s="46" t="n"/>
      <c r="U103" s="47" t="n"/>
      <c r="V103" s="9" t="n"/>
      <c r="W103" s="10" t="n"/>
      <c r="X103" s="9" t="n"/>
      <c r="Y103" s="10" t="n"/>
      <c r="Z103" s="33" t="n"/>
      <c r="AA103" s="34" t="n"/>
      <c r="AB103" s="33" t="n"/>
      <c r="AC103" s="35" t="n"/>
      <c r="AD103" s="32" t="n"/>
      <c r="AE103" s="31" t="n"/>
      <c r="AF103" s="9" t="n"/>
      <c r="AG103" s="10" t="n"/>
      <c r="AH103" s="9" t="n"/>
      <c r="AI103" s="10" t="n"/>
      <c r="AJ103" s="46" t="n"/>
      <c r="AK103" s="47" t="n"/>
      <c r="AL103" s="9" t="n"/>
      <c r="AM103" s="10" t="n"/>
      <c r="AN103" s="33" t="n"/>
      <c r="AO103" s="34" t="n"/>
      <c r="AP103" s="33" t="n"/>
      <c r="AQ103" s="35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3" t="n"/>
      <c r="BC103" s="34" t="n"/>
      <c r="BD103" s="33" t="n"/>
      <c r="BE103" s="35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65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3" t="n"/>
      <c r="M104" s="34" t="n"/>
      <c r="N104" s="33" t="n"/>
      <c r="O104" s="35" t="n"/>
      <c r="P104" s="48" t="n"/>
      <c r="Q104" s="47" t="n"/>
      <c r="R104" s="9" t="n"/>
      <c r="S104" s="10" t="n"/>
      <c r="T104" s="46" t="n"/>
      <c r="U104" s="47" t="n"/>
      <c r="V104" s="9" t="n"/>
      <c r="W104" s="10" t="n"/>
      <c r="X104" s="9" t="n"/>
      <c r="Y104" s="10" t="n"/>
      <c r="Z104" s="33" t="n"/>
      <c r="AA104" s="34" t="n"/>
      <c r="AB104" s="33" t="n"/>
      <c r="AC104" s="35" t="n"/>
      <c r="AD104" s="32" t="n"/>
      <c r="AE104" s="31" t="n"/>
      <c r="AF104" s="9" t="n"/>
      <c r="AG104" s="10" t="n"/>
      <c r="AH104" s="9" t="n"/>
      <c r="AI104" s="10" t="n"/>
      <c r="AJ104" s="46" t="n"/>
      <c r="AK104" s="47" t="n"/>
      <c r="AL104" s="9" t="n"/>
      <c r="AM104" s="10" t="n"/>
      <c r="AN104" s="33" t="n"/>
      <c r="AO104" s="34" t="n"/>
      <c r="AP104" s="33" t="n"/>
      <c r="AQ104" s="35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3" t="n"/>
      <c r="BC104" s="34" t="n"/>
      <c r="BD104" s="33" t="n"/>
      <c r="BE104" s="35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48" t="n"/>
      <c r="Q105" s="47" t="n"/>
      <c r="R105" s="9" t="n"/>
      <c r="S105" s="10" t="n"/>
      <c r="T105" s="46" t="n"/>
      <c r="U105" s="47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46" t="n"/>
      <c r="AK105" s="47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65" t="inlineStr">
        <is>
          <t xml:space="preserve">  Logistik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48" t="n"/>
      <c r="Q106" s="47" t="n"/>
      <c r="R106" s="9" t="n"/>
      <c r="S106" s="10" t="n"/>
      <c r="T106" s="46" t="n"/>
      <c r="U106" s="47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46" t="n"/>
      <c r="AK106" s="47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>
      <c r="A107" s="66" t="inlineStr">
        <is>
          <t xml:space="preserve">    Pfahlköpfe bei Terno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48" t="n"/>
      <c r="Q107" s="47" t="n"/>
      <c r="R107" s="9" t="n"/>
      <c r="S107" s="10" t="n"/>
      <c r="T107" s="46" t="n"/>
      <c r="U107" s="47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46" t="n"/>
      <c r="AK107" s="47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48" t="n"/>
      <c r="Q108" s="47" t="n"/>
      <c r="R108" s="9" t="n"/>
      <c r="S108" s="10" t="n"/>
      <c r="T108" s="46" t="n"/>
      <c r="U108" s="47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46" t="n"/>
      <c r="AK108" s="47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>
      <c r="A109" s="65" t="inlineStr">
        <is>
          <t xml:space="preserve">  Stahlbau</t>
        </is>
      </c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48" t="n"/>
      <c r="Q109" s="47" t="n"/>
      <c r="R109" s="9" t="n"/>
      <c r="S109" s="10" t="n"/>
      <c r="T109" s="46" t="n"/>
      <c r="U109" s="47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46" t="n"/>
      <c r="AK109" s="47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>
      <c r="A110" s="66" t="inlineStr">
        <is>
          <t xml:space="preserve">    Modulträger beschriften mit laminierten Karten</t>
        </is>
      </c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48" t="n"/>
      <c r="Q110" s="47" t="n"/>
      <c r="R110" s="9" t="n"/>
      <c r="S110" s="10" t="n"/>
      <c r="T110" s="46" t="n"/>
      <c r="U110" s="47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46" t="n"/>
      <c r="AK110" s="47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>
      <c r="A111" s="66" t="inlineStr">
        <is>
          <t xml:space="preserve">    M10/M12 genug für Modulträgermontage</t>
        </is>
      </c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48" t="n"/>
      <c r="Q111" s="47" t="n"/>
      <c r="R111" s="9" t="n"/>
      <c r="S111" s="10" t="n"/>
      <c r="T111" s="46" t="n"/>
      <c r="U111" s="47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46" t="n"/>
      <c r="AK111" s="47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>
      <c r="A112" s="66" t="inlineStr">
        <is>
          <t xml:space="preserve">    (V) Unterweisung Leiter</t>
        </is>
      </c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48" t="n"/>
      <c r="Q112" s="47" t="n"/>
      <c r="R112" s="9" t="n"/>
      <c r="S112" s="10" t="n"/>
      <c r="T112" s="46" t="n"/>
      <c r="U112" s="47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46" t="n"/>
      <c r="AK112" s="47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>
      <c r="A113" s="66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48" t="n"/>
      <c r="Q113" s="47" t="n"/>
      <c r="R113" s="9" t="n"/>
      <c r="S113" s="10" t="n"/>
      <c r="T113" s="46" t="n"/>
      <c r="U113" s="47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46" t="n"/>
      <c r="AK113" s="47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>
      <c r="A114" s="65" t="inlineStr">
        <is>
          <t xml:space="preserve">  Werkleitungen</t>
        </is>
      </c>
      <c r="B114" s="32" t="n"/>
      <c r="C114" s="31" t="n"/>
      <c r="D114" s="9" t="n"/>
      <c r="E114" s="10" t="n"/>
      <c r="F114" s="9" t="n"/>
      <c r="G114" s="10" t="n"/>
      <c r="H114" s="9" t="n"/>
      <c r="I114" s="10" t="n"/>
      <c r="J114" s="9" t="n"/>
      <c r="K114" s="10" t="n"/>
      <c r="L114" s="38" t="n"/>
      <c r="M114" s="39" t="n"/>
      <c r="N114" s="38" t="n"/>
      <c r="O114" s="40" t="n"/>
      <c r="P114" s="48" t="n"/>
      <c r="Q114" s="47" t="n"/>
      <c r="R114" s="9" t="n"/>
      <c r="S114" s="10" t="n"/>
      <c r="T114" s="46" t="n"/>
      <c r="U114" s="47" t="n"/>
      <c r="V114" s="9" t="n"/>
      <c r="W114" s="10" t="n"/>
      <c r="X114" s="9" t="n"/>
      <c r="Y114" s="10" t="n"/>
      <c r="Z114" s="38" t="n"/>
      <c r="AA114" s="39" t="n"/>
      <c r="AB114" s="38" t="n"/>
      <c r="AC114" s="40" t="n"/>
      <c r="AD114" s="32" t="n"/>
      <c r="AE114" s="31" t="n"/>
      <c r="AF114" s="9" t="n"/>
      <c r="AG114" s="10" t="n"/>
      <c r="AH114" s="9" t="n"/>
      <c r="AI114" s="10" t="n"/>
      <c r="AJ114" s="46" t="n"/>
      <c r="AK114" s="47" t="n"/>
      <c r="AL114" s="9" t="n"/>
      <c r="AM114" s="10" t="n"/>
      <c r="AN114" s="38" t="n"/>
      <c r="AO114" s="39" t="n"/>
      <c r="AP114" s="38" t="n"/>
      <c r="AQ114" s="40" t="n"/>
      <c r="AR114" s="32" t="n"/>
      <c r="AS114" s="31" t="n"/>
      <c r="AT114" s="9" t="n"/>
      <c r="AU114" s="10" t="n"/>
      <c r="AV114" s="9" t="n"/>
      <c r="AW114" s="10" t="n"/>
      <c r="AX114" s="9" t="n"/>
      <c r="AY114" s="10" t="n"/>
      <c r="AZ114" s="9" t="n"/>
      <c r="BA114" s="10" t="n"/>
      <c r="BB114" s="38" t="n"/>
      <c r="BC114" s="39" t="n"/>
      <c r="BD114" s="38" t="n"/>
      <c r="BE114" s="40" t="n"/>
      <c r="BF114" s="32" t="n"/>
      <c r="BG114" s="31" t="n"/>
      <c r="BH114" s="9" t="n"/>
      <c r="BI114" s="10" t="n"/>
      <c r="BJ114" s="9" t="n"/>
      <c r="BK114" s="10" t="n"/>
      <c r="BL114" s="9" t="n"/>
      <c r="BM114" s="10" t="n"/>
      <c r="BN114" s="9" t="n"/>
      <c r="BO114" s="10" t="n"/>
      <c r="BP114" s="33" t="n"/>
      <c r="BQ114" s="34" t="n"/>
      <c r="BR114" s="33" t="n"/>
      <c r="BS114" s="35" t="n"/>
    </row>
    <row r="115">
      <c r="A115" s="66" t="n"/>
      <c r="B115" s="32" t="n"/>
      <c r="C115" s="31" t="n"/>
      <c r="D115" s="9" t="n"/>
      <c r="E115" s="10" t="n"/>
      <c r="F115" s="9" t="n"/>
      <c r="G115" s="10" t="n"/>
      <c r="H115" s="9" t="n"/>
      <c r="I115" s="10" t="n"/>
      <c r="J115" s="9" t="n"/>
      <c r="K115" s="10" t="n"/>
      <c r="L115" s="38" t="n"/>
      <c r="M115" s="39" t="n"/>
      <c r="N115" s="38" t="n"/>
      <c r="O115" s="40" t="n"/>
      <c r="P115" s="48" t="n"/>
      <c r="Q115" s="47" t="n"/>
      <c r="R115" s="9" t="n"/>
      <c r="S115" s="10" t="n"/>
      <c r="T115" s="46" t="n"/>
      <c r="U115" s="47" t="n"/>
      <c r="V115" s="9" t="n"/>
      <c r="W115" s="10" t="n"/>
      <c r="X115" s="9" t="n"/>
      <c r="Y115" s="10" t="n"/>
      <c r="Z115" s="38" t="n"/>
      <c r="AA115" s="39" t="n"/>
      <c r="AB115" s="38" t="n"/>
      <c r="AC115" s="40" t="n"/>
      <c r="AD115" s="32" t="n"/>
      <c r="AE115" s="31" t="n"/>
      <c r="AF115" s="9" t="n"/>
      <c r="AG115" s="10" t="n"/>
      <c r="AH115" s="9" t="n"/>
      <c r="AI115" s="10" t="n"/>
      <c r="AJ115" s="46" t="n"/>
      <c r="AK115" s="47" t="n"/>
      <c r="AL115" s="9" t="n"/>
      <c r="AM115" s="10" t="n"/>
      <c r="AN115" s="38" t="n"/>
      <c r="AO115" s="39" t="n"/>
      <c r="AP115" s="38" t="n"/>
      <c r="AQ115" s="40" t="n"/>
      <c r="AR115" s="32" t="n"/>
      <c r="AS115" s="31" t="n"/>
      <c r="AT115" s="9" t="n"/>
      <c r="AU115" s="10" t="n"/>
      <c r="AV115" s="9" t="n"/>
      <c r="AW115" s="10" t="n"/>
      <c r="AX115" s="9" t="n"/>
      <c r="AY115" s="10" t="n"/>
      <c r="AZ115" s="9" t="n"/>
      <c r="BA115" s="10" t="n"/>
      <c r="BB115" s="38" t="n"/>
      <c r="BC115" s="39" t="n"/>
      <c r="BD115" s="38" t="n"/>
      <c r="BE115" s="40" t="n"/>
      <c r="BF115" s="32" t="n"/>
      <c r="BG115" s="31" t="n"/>
      <c r="BH115" s="9" t="n"/>
      <c r="BI115" s="10" t="n"/>
      <c r="BJ115" s="9" t="n"/>
      <c r="BK115" s="10" t="n"/>
      <c r="BL115" s="9" t="n"/>
      <c r="BM115" s="10" t="n"/>
      <c r="BN115" s="9" t="n"/>
      <c r="BO115" s="10" t="n"/>
      <c r="BP115" s="33" t="n"/>
      <c r="BQ115" s="34" t="n"/>
      <c r="BR115" s="33" t="n"/>
      <c r="BS115" s="35" t="n"/>
    </row>
    <row r="116">
      <c r="A116" s="66" t="n"/>
      <c r="B116" s="32" t="n"/>
      <c r="C116" s="31" t="n"/>
      <c r="D116" s="9" t="n"/>
      <c r="E116" s="10" t="n"/>
      <c r="F116" s="9" t="n"/>
      <c r="G116" s="10" t="n"/>
      <c r="H116" s="9" t="n"/>
      <c r="I116" s="10" t="n"/>
      <c r="J116" s="9" t="n"/>
      <c r="K116" s="10" t="n"/>
      <c r="L116" s="38" t="n"/>
      <c r="M116" s="39" t="n"/>
      <c r="N116" s="38" t="n"/>
      <c r="O116" s="40" t="n"/>
      <c r="P116" s="48" t="n"/>
      <c r="Q116" s="47" t="n"/>
      <c r="R116" s="9" t="n"/>
      <c r="S116" s="10" t="n"/>
      <c r="T116" s="46" t="n"/>
      <c r="U116" s="47" t="n"/>
      <c r="V116" s="9" t="n"/>
      <c r="W116" s="10" t="n"/>
      <c r="X116" s="9" t="n"/>
      <c r="Y116" s="10" t="n"/>
      <c r="Z116" s="38" t="n"/>
      <c r="AA116" s="39" t="n"/>
      <c r="AB116" s="38" t="n"/>
      <c r="AC116" s="40" t="n"/>
      <c r="AD116" s="32" t="n"/>
      <c r="AE116" s="31" t="n"/>
      <c r="AF116" s="9" t="n"/>
      <c r="AG116" s="10" t="n"/>
      <c r="AH116" s="9" t="n"/>
      <c r="AI116" s="10" t="n"/>
      <c r="AJ116" s="46" t="n"/>
      <c r="AK116" s="47" t="n"/>
      <c r="AL116" s="9" t="n"/>
      <c r="AM116" s="10" t="n"/>
      <c r="AN116" s="38" t="n"/>
      <c r="AO116" s="39" t="n"/>
      <c r="AP116" s="38" t="n"/>
      <c r="AQ116" s="40" t="n"/>
      <c r="AR116" s="32" t="n"/>
      <c r="AS116" s="31" t="n"/>
      <c r="AT116" s="9" t="n"/>
      <c r="AU116" s="10" t="n"/>
      <c r="AV116" s="9" t="n"/>
      <c r="AW116" s="10" t="n"/>
      <c r="AX116" s="9" t="n"/>
      <c r="AY116" s="10" t="n"/>
      <c r="AZ116" s="9" t="n"/>
      <c r="BA116" s="10" t="n"/>
      <c r="BB116" s="38" t="n"/>
      <c r="BC116" s="39" t="n"/>
      <c r="BD116" s="38" t="n"/>
      <c r="BE116" s="40" t="n"/>
      <c r="BF116" s="32" t="n"/>
      <c r="BG116" s="31" t="n"/>
      <c r="BH116" s="9" t="n"/>
      <c r="BI116" s="10" t="n"/>
      <c r="BJ116" s="9" t="n"/>
      <c r="BK116" s="10" t="n"/>
      <c r="BL116" s="9" t="n"/>
      <c r="BM116" s="10" t="n"/>
      <c r="BN116" s="9" t="n"/>
      <c r="BO116" s="10" t="n"/>
      <c r="BP116" s="33" t="n"/>
      <c r="BQ116" s="34" t="n"/>
      <c r="BR116" s="33" t="n"/>
      <c r="BS116" s="35" t="n"/>
    </row>
    <row r="117">
      <c r="A117" s="65" t="n"/>
      <c r="B117" s="32" t="n"/>
      <c r="C117" s="31" t="n"/>
      <c r="D117" s="9" t="n"/>
      <c r="E117" s="10" t="n"/>
      <c r="F117" s="9" t="n"/>
      <c r="G117" s="10" t="n"/>
      <c r="H117" s="9" t="n"/>
      <c r="I117" s="10" t="n"/>
      <c r="J117" s="9" t="n"/>
      <c r="K117" s="10" t="n"/>
      <c r="L117" s="38" t="n"/>
      <c r="M117" s="39" t="n"/>
      <c r="N117" s="38" t="n"/>
      <c r="O117" s="40" t="n"/>
      <c r="P117" s="48" t="n"/>
      <c r="Q117" s="47" t="n"/>
      <c r="R117" s="9" t="n"/>
      <c r="S117" s="10" t="n"/>
      <c r="T117" s="46" t="n"/>
      <c r="U117" s="47" t="n"/>
      <c r="V117" s="9" t="n"/>
      <c r="W117" s="10" t="n"/>
      <c r="X117" s="9" t="n"/>
      <c r="Y117" s="10" t="n"/>
      <c r="Z117" s="38" t="n"/>
      <c r="AA117" s="39" t="n"/>
      <c r="AB117" s="38" t="n"/>
      <c r="AC117" s="40" t="n"/>
      <c r="AD117" s="32" t="n"/>
      <c r="AE117" s="31" t="n"/>
      <c r="AF117" s="9" t="n"/>
      <c r="AG117" s="10" t="n"/>
      <c r="AH117" s="9" t="n"/>
      <c r="AI117" s="10" t="n"/>
      <c r="AJ117" s="46" t="n"/>
      <c r="AK117" s="47" t="n"/>
      <c r="AL117" s="9" t="n"/>
      <c r="AM117" s="10" t="n"/>
      <c r="AN117" s="38" t="n"/>
      <c r="AO117" s="39" t="n"/>
      <c r="AP117" s="38" t="n"/>
      <c r="AQ117" s="40" t="n"/>
      <c r="AR117" s="32" t="n"/>
      <c r="AS117" s="31" t="n"/>
      <c r="AT117" s="9" t="n"/>
      <c r="AU117" s="10" t="n"/>
      <c r="AV117" s="9" t="n"/>
      <c r="AW117" s="10" t="n"/>
      <c r="AX117" s="9" t="n"/>
      <c r="AY117" s="10" t="n"/>
      <c r="AZ117" s="9" t="n"/>
      <c r="BA117" s="10" t="n"/>
      <c r="BB117" s="38" t="n"/>
      <c r="BC117" s="39" t="n"/>
      <c r="BD117" s="38" t="n"/>
      <c r="BE117" s="40" t="n"/>
      <c r="BF117" s="32" t="n"/>
      <c r="BG117" s="31" t="n"/>
      <c r="BH117" s="9" t="n"/>
      <c r="BI117" s="10" t="n"/>
      <c r="BJ117" s="9" t="n"/>
      <c r="BK117" s="10" t="n"/>
      <c r="BL117" s="9" t="n"/>
      <c r="BM117" s="10" t="n"/>
      <c r="BN117" s="9" t="n"/>
      <c r="BO117" s="10" t="n"/>
      <c r="BP117" s="33" t="n"/>
      <c r="BQ117" s="34" t="n"/>
      <c r="BR117" s="33" t="n"/>
      <c r="BS117" s="35" t="n"/>
    </row>
    <row r="118">
      <c r="A118" s="66" t="n"/>
      <c r="B118" s="32" t="n"/>
      <c r="C118" s="31" t="n"/>
      <c r="D118" s="9" t="n"/>
      <c r="E118" s="10" t="n"/>
      <c r="F118" s="9" t="n"/>
      <c r="G118" s="10" t="n"/>
      <c r="H118" s="9" t="n"/>
      <c r="I118" s="10" t="n"/>
      <c r="J118" s="9" t="n"/>
      <c r="K118" s="10" t="n"/>
      <c r="L118" s="38" t="n"/>
      <c r="M118" s="39" t="n"/>
      <c r="N118" s="38" t="n"/>
      <c r="O118" s="40" t="n"/>
      <c r="P118" s="48" t="n"/>
      <c r="Q118" s="47" t="n"/>
      <c r="R118" s="9" t="n"/>
      <c r="S118" s="10" t="n"/>
      <c r="T118" s="46" t="n"/>
      <c r="U118" s="47" t="n"/>
      <c r="V118" s="9" t="n"/>
      <c r="W118" s="10" t="n"/>
      <c r="X118" s="9" t="n"/>
      <c r="Y118" s="10" t="n"/>
      <c r="Z118" s="38" t="n"/>
      <c r="AA118" s="39" t="n"/>
      <c r="AB118" s="38" t="n"/>
      <c r="AC118" s="40" t="n"/>
      <c r="AD118" s="32" t="n"/>
      <c r="AE118" s="31" t="n"/>
      <c r="AF118" s="9" t="n"/>
      <c r="AG118" s="10" t="n"/>
      <c r="AH118" s="9" t="n"/>
      <c r="AI118" s="10" t="n"/>
      <c r="AJ118" s="46" t="n"/>
      <c r="AK118" s="47" t="n"/>
      <c r="AL118" s="9" t="n"/>
      <c r="AM118" s="10" t="n"/>
      <c r="AN118" s="38" t="n"/>
      <c r="AO118" s="39" t="n"/>
      <c r="AP118" s="38" t="n"/>
      <c r="AQ118" s="40" t="n"/>
      <c r="AR118" s="32" t="n"/>
      <c r="AS118" s="31" t="n"/>
      <c r="AT118" s="9" t="n"/>
      <c r="AU118" s="10" t="n"/>
      <c r="AV118" s="9" t="n"/>
      <c r="AW118" s="10" t="n"/>
      <c r="AX118" s="9" t="n"/>
      <c r="AY118" s="10" t="n"/>
      <c r="AZ118" s="9" t="n"/>
      <c r="BA118" s="10" t="n"/>
      <c r="BB118" s="38" t="n"/>
      <c r="BC118" s="39" t="n"/>
      <c r="BD118" s="38" t="n"/>
      <c r="BE118" s="40" t="n"/>
      <c r="BF118" s="32" t="n"/>
      <c r="BG118" s="31" t="n"/>
      <c r="BH118" s="9" t="n"/>
      <c r="BI118" s="10" t="n"/>
      <c r="BJ118" s="9" t="n"/>
      <c r="BK118" s="10" t="n"/>
      <c r="BL118" s="9" t="n"/>
      <c r="BM118" s="10" t="n"/>
      <c r="BN118" s="9" t="n"/>
      <c r="BO118" s="10" t="n"/>
      <c r="BP118" s="33" t="n"/>
      <c r="BQ118" s="34" t="n"/>
      <c r="BR118" s="33" t="n"/>
      <c r="BS118" s="35" t="n"/>
    </row>
    <row r="119">
      <c r="A119" s="67" t="n"/>
      <c r="B119" s="32" t="n"/>
      <c r="C119" s="31" t="n"/>
      <c r="D119" s="9" t="n"/>
      <c r="E119" s="10" t="n"/>
      <c r="F119" s="9" t="n"/>
      <c r="G119" s="10" t="n"/>
      <c r="H119" s="9" t="n"/>
      <c r="I119" s="10" t="n"/>
      <c r="J119" s="9" t="n"/>
      <c r="K119" s="10" t="n"/>
      <c r="L119" s="38" t="n"/>
      <c r="M119" s="39" t="n"/>
      <c r="N119" s="38" t="n"/>
      <c r="O119" s="40" t="n"/>
      <c r="P119" s="48" t="n"/>
      <c r="Q119" s="47" t="n"/>
      <c r="R119" s="9" t="n"/>
      <c r="S119" s="10" t="n"/>
      <c r="T119" s="46" t="n"/>
      <c r="U119" s="47" t="n"/>
      <c r="V119" s="9" t="n"/>
      <c r="W119" s="10" t="n"/>
      <c r="X119" s="9" t="n"/>
      <c r="Y119" s="10" t="n"/>
      <c r="Z119" s="38" t="n"/>
      <c r="AA119" s="39" t="n"/>
      <c r="AB119" s="38" t="n"/>
      <c r="AC119" s="40" t="n"/>
      <c r="AD119" s="32" t="n"/>
      <c r="AE119" s="31" t="n"/>
      <c r="AF119" s="9" t="n"/>
      <c r="AG119" s="10" t="n"/>
      <c r="AH119" s="9" t="n"/>
      <c r="AI119" s="10" t="n"/>
      <c r="AJ119" s="46" t="n"/>
      <c r="AK119" s="47" t="n"/>
      <c r="AL119" s="9" t="n"/>
      <c r="AM119" s="10" t="n"/>
      <c r="AN119" s="38" t="n"/>
      <c r="AO119" s="39" t="n"/>
      <c r="AP119" s="38" t="n"/>
      <c r="AQ119" s="40" t="n"/>
      <c r="AR119" s="32" t="n"/>
      <c r="AS119" s="31" t="n"/>
      <c r="AT119" s="9" t="n"/>
      <c r="AU119" s="10" t="n"/>
      <c r="AV119" s="9" t="n"/>
      <c r="AW119" s="10" t="n"/>
      <c r="AX119" s="9" t="n"/>
      <c r="AY119" s="10" t="n"/>
      <c r="AZ119" s="9" t="n"/>
      <c r="BA119" s="10" t="n"/>
      <c r="BB119" s="38" t="n"/>
      <c r="BC119" s="39" t="n"/>
      <c r="BD119" s="38" t="n"/>
      <c r="BE119" s="40" t="n"/>
      <c r="BF119" s="32" t="n"/>
      <c r="BG119" s="31" t="n"/>
      <c r="BH119" s="9" t="n"/>
      <c r="BI119" s="10" t="n"/>
      <c r="BJ119" s="9" t="n"/>
      <c r="BK119" s="10" t="n"/>
      <c r="BL119" s="9" t="n"/>
      <c r="BM119" s="10" t="n"/>
      <c r="BN119" s="9" t="n"/>
      <c r="BO119" s="10" t="n"/>
      <c r="BP119" s="33" t="n"/>
      <c r="BQ119" s="34" t="n"/>
      <c r="BR119" s="33" t="n"/>
      <c r="BS119" s="35" t="n"/>
    </row>
    <row r="120">
      <c r="A120" s="67" t="n"/>
      <c r="B120" s="32" t="n"/>
      <c r="C120" s="31" t="n"/>
      <c r="D120" s="9" t="n"/>
      <c r="E120" s="10" t="n"/>
      <c r="F120" s="9" t="n"/>
      <c r="G120" s="10" t="n"/>
      <c r="H120" s="9" t="n"/>
      <c r="I120" s="10" t="n"/>
      <c r="J120" s="9" t="n"/>
      <c r="K120" s="10" t="n"/>
      <c r="L120" s="38" t="n"/>
      <c r="M120" s="39" t="n"/>
      <c r="N120" s="38" t="n"/>
      <c r="O120" s="40" t="n"/>
      <c r="P120" s="48" t="n"/>
      <c r="Q120" s="47" t="n"/>
      <c r="R120" s="9" t="n"/>
      <c r="S120" s="10" t="n"/>
      <c r="T120" s="46" t="n"/>
      <c r="U120" s="47" t="n"/>
      <c r="V120" s="9" t="n"/>
      <c r="W120" s="10" t="n"/>
      <c r="X120" s="9" t="n"/>
      <c r="Y120" s="10" t="n"/>
      <c r="Z120" s="38" t="n"/>
      <c r="AA120" s="39" t="n"/>
      <c r="AB120" s="38" t="n"/>
      <c r="AC120" s="40" t="n"/>
      <c r="AD120" s="32" t="n"/>
      <c r="AE120" s="31" t="n"/>
      <c r="AF120" s="9" t="n"/>
      <c r="AG120" s="10" t="n"/>
      <c r="AH120" s="9" t="n"/>
      <c r="AI120" s="10" t="n"/>
      <c r="AJ120" s="46" t="n"/>
      <c r="AK120" s="47" t="n"/>
      <c r="AL120" s="9" t="n"/>
      <c r="AM120" s="10" t="n"/>
      <c r="AN120" s="38" t="n"/>
      <c r="AO120" s="39" t="n"/>
      <c r="AP120" s="38" t="n"/>
      <c r="AQ120" s="40" t="n"/>
      <c r="AR120" s="32" t="n"/>
      <c r="AS120" s="31" t="n"/>
      <c r="AT120" s="9" t="n"/>
      <c r="AU120" s="10" t="n"/>
      <c r="AV120" s="9" t="n"/>
      <c r="AW120" s="10" t="n"/>
      <c r="AX120" s="9" t="n"/>
      <c r="AY120" s="10" t="n"/>
      <c r="AZ120" s="9" t="n"/>
      <c r="BA120" s="10" t="n"/>
      <c r="BB120" s="38" t="n"/>
      <c r="BC120" s="39" t="n"/>
      <c r="BD120" s="38" t="n"/>
      <c r="BE120" s="40" t="n"/>
      <c r="BF120" s="32" t="n"/>
      <c r="BG120" s="31" t="n"/>
      <c r="BH120" s="9" t="n"/>
      <c r="BI120" s="10" t="n"/>
      <c r="BJ120" s="9" t="n"/>
      <c r="BK120" s="10" t="n"/>
      <c r="BL120" s="9" t="n"/>
      <c r="BM120" s="10" t="n"/>
      <c r="BN120" s="9" t="n"/>
      <c r="BO120" s="10" t="n"/>
      <c r="BP120" s="33" t="n"/>
      <c r="BQ120" s="34" t="n"/>
      <c r="BR120" s="33" t="n"/>
      <c r="BS120" s="35" t="n"/>
    </row>
    <row r="121" ht="13.5" customHeight="1" thickBot="1">
      <c r="A121" s="67" t="n"/>
      <c r="B121" s="32" t="n"/>
      <c r="C121" s="31" t="n"/>
      <c r="D121" s="9" t="n"/>
      <c r="E121" s="10" t="n"/>
      <c r="F121" s="9" t="n"/>
      <c r="G121" s="10" t="n"/>
      <c r="H121" s="9" t="n"/>
      <c r="I121" s="10" t="n"/>
      <c r="J121" s="9" t="n"/>
      <c r="K121" s="10" t="n"/>
      <c r="L121" s="38" t="n"/>
      <c r="M121" s="39" t="n"/>
      <c r="N121" s="38" t="n"/>
      <c r="O121" s="40" t="n"/>
      <c r="P121" s="48" t="n"/>
      <c r="Q121" s="47" t="n"/>
      <c r="R121" s="9" t="n"/>
      <c r="S121" s="10" t="n"/>
      <c r="T121" s="46" t="n"/>
      <c r="U121" s="47" t="n"/>
      <c r="V121" s="9" t="n"/>
      <c r="W121" s="10" t="n"/>
      <c r="X121" s="9" t="n"/>
      <c r="Y121" s="10" t="n"/>
      <c r="Z121" s="38" t="n"/>
      <c r="AA121" s="39" t="n"/>
      <c r="AB121" s="38" t="n"/>
      <c r="AC121" s="40" t="n"/>
      <c r="AD121" s="32" t="n"/>
      <c r="AE121" s="31" t="n"/>
      <c r="AF121" s="9" t="n"/>
      <c r="AG121" s="10" t="n"/>
      <c r="AH121" s="9" t="n"/>
      <c r="AI121" s="10" t="n"/>
      <c r="AJ121" s="46" t="n"/>
      <c r="AK121" s="47" t="n"/>
      <c r="AL121" s="9" t="n"/>
      <c r="AM121" s="10" t="n"/>
      <c r="AN121" s="38" t="n"/>
      <c r="AO121" s="39" t="n"/>
      <c r="AP121" s="38" t="n"/>
      <c r="AQ121" s="40" t="n"/>
      <c r="AR121" s="32" t="n"/>
      <c r="AS121" s="31" t="n"/>
      <c r="AT121" s="9" t="n"/>
      <c r="AU121" s="10" t="n"/>
      <c r="AV121" s="9" t="n"/>
      <c r="AW121" s="10" t="n"/>
      <c r="AX121" s="9" t="n"/>
      <c r="AY121" s="10" t="n"/>
      <c r="AZ121" s="9" t="n"/>
      <c r="BA121" s="10" t="n"/>
      <c r="BB121" s="38" t="n"/>
      <c r="BC121" s="39" t="n"/>
      <c r="BD121" s="38" t="n"/>
      <c r="BE121" s="40" t="n"/>
      <c r="BF121" s="32" t="n"/>
      <c r="BG121" s="31" t="n"/>
      <c r="BH121" s="9" t="n"/>
      <c r="BI121" s="10" t="n"/>
      <c r="BJ121" s="9" t="n"/>
      <c r="BK121" s="10" t="n"/>
      <c r="BL121" s="9" t="n"/>
      <c r="BM121" s="10" t="n"/>
      <c r="BN121" s="9" t="n"/>
      <c r="BO121" s="10" t="n"/>
      <c r="BP121" s="33" t="n"/>
      <c r="BQ121" s="34" t="n"/>
      <c r="BR121" s="33" t="n"/>
      <c r="BS121" s="35" t="n"/>
    </row>
    <row r="122" ht="13.5" customHeight="1" thickBot="1">
      <c r="A122" s="16" t="inlineStr">
        <is>
          <t>Personalbedarf (inkl. Polier)</t>
        </is>
      </c>
      <c r="B122" s="171" t="n">
        <v>22</v>
      </c>
      <c r="C122" s="162" t="n"/>
      <c r="D122" s="161" t="n">
        <v>22</v>
      </c>
      <c r="E122" s="162" t="n"/>
      <c r="F122" s="161" t="n">
        <v>22</v>
      </c>
      <c r="G122" s="162" t="n"/>
      <c r="H122" s="161" t="n">
        <v>22</v>
      </c>
      <c r="I122" s="162" t="n"/>
      <c r="J122" s="161" t="n">
        <v>22</v>
      </c>
      <c r="K122" s="162" t="n"/>
      <c r="L122" s="161" t="n">
        <v>0</v>
      </c>
      <c r="M122" s="162" t="n"/>
      <c r="N122" s="161" t="n">
        <v>0</v>
      </c>
      <c r="O122" s="162" t="n"/>
      <c r="P122" s="171" t="n">
        <v>22</v>
      </c>
      <c r="Q122" s="162" t="n"/>
      <c r="R122" s="161" t="n">
        <v>22</v>
      </c>
      <c r="S122" s="162" t="n"/>
      <c r="T122" s="161" t="n">
        <v>22</v>
      </c>
      <c r="U122" s="162" t="n"/>
      <c r="V122" s="161" t="n">
        <v>22</v>
      </c>
      <c r="W122" s="162" t="n"/>
      <c r="X122" s="161" t="n">
        <v>22</v>
      </c>
      <c r="Y122" s="162" t="n"/>
      <c r="Z122" s="161" t="n">
        <v>0</v>
      </c>
      <c r="AA122" s="162" t="n"/>
      <c r="AB122" s="161" t="n">
        <v>0</v>
      </c>
      <c r="AC122" s="162" t="n"/>
      <c r="AD122" s="171" t="n">
        <v>22</v>
      </c>
      <c r="AE122" s="162" t="n"/>
      <c r="AF122" s="161" t="n">
        <v>22</v>
      </c>
      <c r="AG122" s="162" t="n"/>
      <c r="AH122" s="161" t="n">
        <v>22</v>
      </c>
      <c r="AI122" s="162" t="n"/>
      <c r="AJ122" s="161" t="n">
        <v>22</v>
      </c>
      <c r="AK122" s="162" t="n"/>
      <c r="AL122" s="161" t="n">
        <v>22</v>
      </c>
      <c r="AM122" s="162" t="n"/>
      <c r="AN122" s="161" t="n">
        <v>0</v>
      </c>
      <c r="AO122" s="162" t="n"/>
      <c r="AP122" s="161" t="n">
        <v>0</v>
      </c>
      <c r="AQ122" s="162" t="n"/>
      <c r="AR122" s="171" t="n">
        <v>22</v>
      </c>
      <c r="AS122" s="162" t="n"/>
      <c r="AT122" s="161" t="n">
        <v>22</v>
      </c>
      <c r="AU122" s="162" t="n"/>
      <c r="AV122" s="161" t="n">
        <v>22</v>
      </c>
      <c r="AW122" s="162" t="n"/>
      <c r="AX122" s="161" t="n">
        <v>22</v>
      </c>
      <c r="AY122" s="162" t="n"/>
      <c r="AZ122" s="161" t="n">
        <v>22</v>
      </c>
      <c r="BA122" s="162" t="n"/>
      <c r="BB122" s="161" t="n">
        <v>0</v>
      </c>
      <c r="BC122" s="162" t="n"/>
      <c r="BD122" s="161" t="n">
        <v>0</v>
      </c>
      <c r="BE122" s="162" t="n"/>
      <c r="BF122" s="171" t="n">
        <v>22</v>
      </c>
      <c r="BG122" s="162" t="n"/>
      <c r="BH122" s="161" t="n">
        <v>22</v>
      </c>
      <c r="BI122" s="162" t="n"/>
      <c r="BJ122" s="161" t="n">
        <v>22</v>
      </c>
      <c r="BK122" s="162" t="n"/>
      <c r="BL122" s="161" t="n">
        <v>22</v>
      </c>
      <c r="BM122" s="162" t="n"/>
      <c r="BN122" s="161" t="n">
        <v>22</v>
      </c>
      <c r="BO122" s="162" t="n"/>
      <c r="BP122" s="161" t="n">
        <v>0</v>
      </c>
      <c r="BQ122" s="162" t="n"/>
      <c r="BR122" s="161" t="n">
        <v>0</v>
      </c>
      <c r="BS122" s="162" t="n"/>
    </row>
    <row r="123" ht="12.75" customHeight="1">
      <c r="A123" s="17" t="inlineStr">
        <is>
          <t>Bemerkungen</t>
        </is>
      </c>
      <c r="B123" s="176" t="n"/>
      <c r="C123" s="166" t="n"/>
      <c r="D123" s="166" t="n"/>
      <c r="E123" s="166" t="n"/>
      <c r="F123" s="166" t="n"/>
      <c r="G123" s="166" t="n"/>
      <c r="H123" s="166" t="n"/>
      <c r="I123" s="166" t="n"/>
      <c r="J123" s="166" t="n"/>
      <c r="K123" s="166" t="n"/>
      <c r="L123" s="166" t="n"/>
      <c r="M123" s="166" t="n"/>
      <c r="N123" s="166" t="n"/>
      <c r="O123" s="177" t="n"/>
      <c r="P123" s="176" t="n"/>
      <c r="Q123" s="166" t="n"/>
      <c r="R123" s="166" t="n"/>
      <c r="S123" s="166" t="n"/>
      <c r="T123" s="166" t="n"/>
      <c r="U123" s="166" t="n"/>
      <c r="V123" s="166" t="n"/>
      <c r="W123" s="166" t="n"/>
      <c r="X123" s="166" t="n"/>
      <c r="Y123" s="166" t="n"/>
      <c r="Z123" s="166" t="n"/>
      <c r="AA123" s="166" t="n"/>
      <c r="AB123" s="166" t="n"/>
      <c r="AC123" s="177" t="n"/>
      <c r="AD123" s="176" t="n"/>
      <c r="AE123" s="166" t="n"/>
      <c r="AF123" s="166" t="n"/>
      <c r="AG123" s="166" t="n"/>
      <c r="AH123" s="166" t="n"/>
      <c r="AI123" s="166" t="n"/>
      <c r="AJ123" s="166" t="n"/>
      <c r="AK123" s="166" t="n"/>
      <c r="AL123" s="166" t="n"/>
      <c r="AM123" s="166" t="n"/>
      <c r="AN123" s="166" t="n"/>
      <c r="AO123" s="166" t="n"/>
      <c r="AP123" s="166" t="n"/>
      <c r="AQ123" s="177" t="n"/>
      <c r="AR123" s="176" t="n"/>
      <c r="AS123" s="166" t="n"/>
      <c r="AT123" s="166" t="n"/>
      <c r="AU123" s="166" t="n"/>
      <c r="AV123" s="166" t="n"/>
      <c r="AW123" s="166" t="n"/>
      <c r="AX123" s="166" t="n"/>
      <c r="AY123" s="166" t="n"/>
      <c r="AZ123" s="166" t="n"/>
      <c r="BA123" s="166" t="n"/>
      <c r="BB123" s="166" t="n"/>
      <c r="BC123" s="166" t="n"/>
      <c r="BD123" s="166" t="n"/>
      <c r="BE123" s="177" t="n"/>
      <c r="BF123" s="176" t="n"/>
      <c r="BG123" s="166" t="n"/>
      <c r="BH123" s="166" t="n"/>
      <c r="BI123" s="166" t="n"/>
      <c r="BJ123" s="166" t="n"/>
      <c r="BK123" s="166" t="n"/>
      <c r="BL123" s="166" t="n"/>
      <c r="BM123" s="166" t="n"/>
      <c r="BN123" s="166" t="n"/>
      <c r="BO123" s="166" t="n"/>
      <c r="BP123" s="166" t="n"/>
      <c r="BQ123" s="166" t="n"/>
      <c r="BR123" s="166" t="n"/>
      <c r="BS123" s="177" t="n"/>
    </row>
    <row r="124" ht="12.75" customHeight="1">
      <c r="A124" s="195" t="n"/>
      <c r="B124" s="201" t="inlineStr">
        <is>
          <t>18.05 Anlieferung Pneukran
21-22-05 Ferien Chris
ca. 21.05 Muk 4x4 Geoworks
Pfahlköpfe bei Terno holen</t>
        </is>
      </c>
      <c r="C124" s="179" t="n"/>
      <c r="D124" s="179" t="n"/>
      <c r="E124" s="179" t="n"/>
      <c r="F124" s="179" t="n"/>
      <c r="G124" s="179" t="n"/>
      <c r="H124" s="179" t="n"/>
      <c r="I124" s="179" t="n"/>
      <c r="J124" s="179" t="n"/>
      <c r="K124" s="179" t="n"/>
      <c r="L124" s="179" t="n"/>
      <c r="M124" s="179" t="n"/>
      <c r="N124" s="179" t="n"/>
      <c r="O124" s="180" t="n"/>
      <c r="P124" s="201" t="inlineStr">
        <is>
          <t>26.05. Muk Strabag</t>
        </is>
      </c>
      <c r="Q124" s="179" t="n"/>
      <c r="R124" s="179" t="n"/>
      <c r="S124" s="179" t="n"/>
      <c r="T124" s="179" t="n"/>
      <c r="U124" s="179" t="n"/>
      <c r="V124" s="179" t="n"/>
      <c r="W124" s="179" t="n"/>
      <c r="X124" s="179" t="n"/>
      <c r="Y124" s="179" t="n"/>
      <c r="Z124" s="179" t="n"/>
      <c r="AA124" s="179" t="n"/>
      <c r="AB124" s="179" t="n"/>
      <c r="AC124" s="180" t="n"/>
      <c r="AD124" s="201" t="n"/>
      <c r="AE124" s="179" t="n"/>
      <c r="AF124" s="179" t="n"/>
      <c r="AG124" s="179" t="n"/>
      <c r="AH124" s="179" t="n"/>
      <c r="AI124" s="179" t="n"/>
      <c r="AJ124" s="179" t="n"/>
      <c r="AK124" s="179" t="n"/>
      <c r="AL124" s="179" t="n"/>
      <c r="AM124" s="179" t="n"/>
      <c r="AN124" s="179" t="n"/>
      <c r="AO124" s="179" t="n"/>
      <c r="AP124" s="179" t="n"/>
      <c r="AQ124" s="180" t="n"/>
      <c r="AR124" s="201" t="inlineStr">
        <is>
          <t>Ferien Victor</t>
        </is>
      </c>
      <c r="AS124" s="179" t="n"/>
      <c r="AT124" s="179" t="n"/>
      <c r="AU124" s="179" t="n"/>
      <c r="AV124" s="179" t="n"/>
      <c r="AW124" s="179" t="n"/>
      <c r="AX124" s="179" t="n"/>
      <c r="AY124" s="179" t="n"/>
      <c r="AZ124" s="179" t="n"/>
      <c r="BA124" s="179" t="n"/>
      <c r="BB124" s="179" t="n"/>
      <c r="BC124" s="179" t="n"/>
      <c r="BD124" s="179" t="n"/>
      <c r="BE124" s="180" t="n"/>
      <c r="BF124" s="201" t="inlineStr">
        <is>
          <t>Ferien Victor</t>
        </is>
      </c>
      <c r="BG124" s="179" t="n"/>
      <c r="BH124" s="179" t="n"/>
      <c r="BI124" s="179" t="n"/>
      <c r="BJ124" s="179" t="n"/>
      <c r="BK124" s="179" t="n"/>
      <c r="BL124" s="179" t="n"/>
      <c r="BM124" s="179" t="n"/>
      <c r="BN124" s="179" t="n"/>
      <c r="BO124" s="179" t="n"/>
      <c r="BP124" s="179" t="n"/>
      <c r="BQ124" s="179" t="n"/>
      <c r="BR124" s="179" t="n"/>
      <c r="BS124" s="180" t="n"/>
    </row>
    <row r="125">
      <c r="A125" s="196" t="n"/>
      <c r="B125" s="181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M125" s="182" t="n"/>
      <c r="N125" s="182" t="n"/>
      <c r="O125" s="183" t="n"/>
      <c r="P125" s="181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3" t="n"/>
      <c r="AD125" s="181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3" t="n"/>
      <c r="AR125" s="181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3" t="n"/>
      <c r="BF125" s="181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3" t="n"/>
    </row>
    <row r="126">
      <c r="A126" s="196" t="n"/>
      <c r="B126" s="181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M126" s="182" t="n"/>
      <c r="N126" s="182" t="n"/>
      <c r="O126" s="183" t="n"/>
      <c r="P126" s="181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3" t="n"/>
      <c r="AD126" s="181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3" t="n"/>
      <c r="AR126" s="181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3" t="n"/>
      <c r="BF126" s="181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3" t="n"/>
    </row>
    <row r="127">
      <c r="A127" s="196" t="n"/>
      <c r="B127" s="181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M127" s="182" t="n"/>
      <c r="N127" s="182" t="n"/>
      <c r="O127" s="183" t="n"/>
      <c r="P127" s="181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3" t="n"/>
      <c r="AD127" s="181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3" t="n"/>
      <c r="AR127" s="181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3" t="n"/>
      <c r="BF127" s="181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3" t="n"/>
    </row>
    <row r="128">
      <c r="A128" s="196" t="n"/>
      <c r="B128" s="181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M128" s="182" t="n"/>
      <c r="N128" s="182" t="n"/>
      <c r="O128" s="183" t="n"/>
      <c r="P128" s="181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3" t="n"/>
      <c r="AD128" s="181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3" t="n"/>
      <c r="AR128" s="181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3" t="n"/>
      <c r="BF128" s="181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3" t="n"/>
    </row>
    <row r="129">
      <c r="A129" s="196" t="n"/>
      <c r="B129" s="181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M129" s="182" t="n"/>
      <c r="N129" s="182" t="n"/>
      <c r="O129" s="183" t="n"/>
      <c r="P129" s="181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3" t="n"/>
      <c r="AD129" s="181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3" t="n"/>
      <c r="AR129" s="181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3" t="n"/>
      <c r="BF129" s="181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3" t="n"/>
    </row>
    <row r="130" ht="13.5" customHeight="1" thickBot="1">
      <c r="A130" s="197" t="n"/>
      <c r="B130" s="184" t="n"/>
      <c r="C130" s="185" t="n"/>
      <c r="D130" s="185" t="n"/>
      <c r="E130" s="185" t="n"/>
      <c r="F130" s="185" t="n"/>
      <c r="G130" s="185" t="n"/>
      <c r="H130" s="185" t="n"/>
      <c r="I130" s="185" t="n"/>
      <c r="J130" s="185" t="n"/>
      <c r="K130" s="185" t="n"/>
      <c r="L130" s="185" t="n"/>
      <c r="M130" s="185" t="n"/>
      <c r="N130" s="185" t="n"/>
      <c r="O130" s="186" t="n"/>
      <c r="P130" s="184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  <c r="AA130" s="185" t="n"/>
      <c r="AB130" s="185" t="n"/>
      <c r="AC130" s="186" t="n"/>
      <c r="AD130" s="184" t="n"/>
      <c r="AE130" s="185" t="n"/>
      <c r="AF130" s="185" t="n"/>
      <c r="AG130" s="185" t="n"/>
      <c r="AH130" s="185" t="n"/>
      <c r="AI130" s="185" t="n"/>
      <c r="AJ130" s="185" t="n"/>
      <c r="AK130" s="185" t="n"/>
      <c r="AL130" s="185" t="n"/>
      <c r="AM130" s="185" t="n"/>
      <c r="AN130" s="185" t="n"/>
      <c r="AO130" s="185" t="n"/>
      <c r="AP130" s="185" t="n"/>
      <c r="AQ130" s="186" t="n"/>
      <c r="AR130" s="184" t="n"/>
      <c r="AS130" s="185" t="n"/>
      <c r="AT130" s="185" t="n"/>
      <c r="AU130" s="185" t="n"/>
      <c r="AV130" s="185" t="n"/>
      <c r="AW130" s="185" t="n"/>
      <c r="AX130" s="185" t="n"/>
      <c r="AY130" s="185" t="n"/>
      <c r="AZ130" s="185" t="n"/>
      <c r="BA130" s="185" t="n"/>
      <c r="BB130" s="185" t="n"/>
      <c r="BC130" s="185" t="n"/>
      <c r="BD130" s="185" t="n"/>
      <c r="BE130" s="186" t="n"/>
      <c r="BF130" s="184" t="n"/>
      <c r="BG130" s="185" t="n"/>
      <c r="BH130" s="185" t="n"/>
      <c r="BI130" s="185" t="n"/>
      <c r="BJ130" s="185" t="n"/>
      <c r="BK130" s="185" t="n"/>
      <c r="BL130" s="185" t="n"/>
      <c r="BM130" s="185" t="n"/>
      <c r="BN130" s="185" t="n"/>
      <c r="BO130" s="185" t="n"/>
      <c r="BP130" s="185" t="n"/>
      <c r="BQ130" s="185" t="n"/>
      <c r="BR130" s="185" t="n"/>
      <c r="BS130" s="186" t="n"/>
    </row>
  </sheetData>
  <mergeCells count="128"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F122:G122"/>
    <mergeCell ref="BB4:BC4"/>
    <mergeCell ref="J4:K4"/>
    <mergeCell ref="L4:M4"/>
    <mergeCell ref="BL4:BM4"/>
    <mergeCell ref="BN4:BO4"/>
    <mergeCell ref="L122:M122"/>
    <mergeCell ref="D4:E4"/>
    <mergeCell ref="X122:Y122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X4:Y4"/>
    <mergeCell ref="Z4:AA4"/>
    <mergeCell ref="AR123:BE123"/>
    <mergeCell ref="AF122:AG122"/>
    <mergeCell ref="P3:AC3"/>
    <mergeCell ref="AZ122:BA122"/>
    <mergeCell ref="H5:I5"/>
    <mergeCell ref="BJ5:BK5"/>
    <mergeCell ref="AL122:AM122"/>
    <mergeCell ref="AD4:AE4"/>
    <mergeCell ref="BL5:BM5"/>
    <mergeCell ref="N4:O4"/>
    <mergeCell ref="AV4:AW4"/>
    <mergeCell ref="P4:Q4"/>
    <mergeCell ref="AX4:AY4"/>
    <mergeCell ref="F4:G4"/>
    <mergeCell ref="BH4:BI4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P5:Q5"/>
    <mergeCell ref="AX5:AY5"/>
    <mergeCell ref="R5:S5"/>
    <mergeCell ref="B123:O123"/>
    <mergeCell ref="B4:C4"/>
    <mergeCell ref="BR5:BS5"/>
    <mergeCell ref="AR3:BE3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199" t="inlineStr">
        <is>
          <t>5-Wochenprogramm</t>
        </is>
      </c>
      <c r="B1" s="202" t="n">
        <v>46216</v>
      </c>
      <c r="C1" s="190" t="n"/>
      <c r="D1" s="190" t="n"/>
      <c r="E1" s="190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168" t="inlineStr">
        <is>
          <t>RKDO NalpSolar</t>
        </is>
      </c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91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69" t="n"/>
      <c r="AQ1" s="169" t="n"/>
      <c r="AR1" s="191" t="n"/>
      <c r="AS1" s="169" t="n"/>
      <c r="AT1" s="169" t="n"/>
      <c r="AU1" s="169" t="n"/>
      <c r="AV1" s="169" t="n"/>
      <c r="AW1" s="169" t="n"/>
      <c r="AX1" s="169" t="n"/>
      <c r="AY1" s="169" t="n"/>
      <c r="AZ1" s="169" t="n"/>
      <c r="BA1" s="169" t="n"/>
      <c r="BB1" s="169" t="n"/>
      <c r="BC1" s="169" t="n"/>
      <c r="BD1" s="169" t="n"/>
      <c r="BE1" s="169" t="n"/>
      <c r="BF1" s="192" t="n"/>
      <c r="BG1" s="169" t="n"/>
      <c r="BH1" s="169" t="n"/>
      <c r="BI1" s="169" t="n"/>
      <c r="BJ1" s="169" t="n"/>
      <c r="BK1" s="169" t="n"/>
      <c r="BL1" s="169" t="n"/>
      <c r="BM1" s="169" t="n"/>
      <c r="BN1" s="169" t="n"/>
      <c r="BO1" s="169" t="n"/>
      <c r="BP1" s="169" t="n"/>
      <c r="BQ1" s="169" t="n"/>
      <c r="BR1" s="169" t="n"/>
      <c r="BS1" s="193" t="n"/>
    </row>
    <row r="2" ht="13.5" customHeight="1" thickBot="1">
      <c r="A2" s="200" t="n"/>
      <c r="B2" s="185" t="n"/>
      <c r="C2" s="185" t="n"/>
      <c r="D2" s="185" t="n"/>
      <c r="E2" s="185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172" t="inlineStr">
        <is>
          <t>Samuel Decurtins</t>
        </is>
      </c>
      <c r="Q2" s="173" t="n"/>
      <c r="R2" s="173" t="n"/>
      <c r="S2" s="173" t="n"/>
      <c r="T2" s="173" t="n"/>
      <c r="U2" s="173" t="n"/>
      <c r="V2" s="173" t="n"/>
      <c r="W2" s="173" t="n"/>
      <c r="X2" s="173" t="n"/>
      <c r="Y2" s="173" t="n"/>
      <c r="Z2" s="173" t="n"/>
      <c r="AA2" s="173" t="n"/>
      <c r="AB2" s="173" t="n"/>
      <c r="AC2" s="173" t="n"/>
      <c r="AD2" s="173" t="n"/>
      <c r="AE2" s="173" t="n"/>
      <c r="AF2" s="173" t="n"/>
      <c r="AG2" s="173" t="n"/>
      <c r="AH2" s="173" t="n"/>
      <c r="AI2" s="173" t="n"/>
      <c r="AJ2" s="173" t="n"/>
      <c r="AK2" s="173" t="n"/>
      <c r="AL2" s="173" t="n"/>
      <c r="AM2" s="173" t="n"/>
      <c r="AN2" s="173" t="n"/>
      <c r="AO2" s="173" t="n"/>
      <c r="AP2" s="173" t="n"/>
      <c r="AQ2" s="173" t="n"/>
      <c r="AR2" s="173" t="n"/>
      <c r="AS2" s="173" t="n"/>
      <c r="AT2" s="173" t="n"/>
      <c r="AU2" s="173" t="n"/>
      <c r="AV2" s="173" t="n"/>
      <c r="AW2" s="173" t="n"/>
      <c r="AX2" s="173" t="n"/>
      <c r="AY2" s="173" t="n"/>
      <c r="AZ2" s="173" t="n"/>
      <c r="BA2" s="173" t="n"/>
      <c r="BB2" s="173" t="n"/>
      <c r="BC2" s="173" t="n"/>
      <c r="BD2" s="173" t="n"/>
      <c r="BE2" s="173" t="n"/>
      <c r="BF2" s="173" t="n"/>
      <c r="BG2" s="173" t="n"/>
      <c r="BH2" s="173" t="n"/>
      <c r="BI2" s="173" t="n"/>
      <c r="BJ2" s="173" t="n"/>
      <c r="BK2" s="173" t="n"/>
      <c r="BL2" s="173" t="n"/>
      <c r="BM2" s="173" t="n"/>
      <c r="BN2" s="173" t="n"/>
      <c r="BO2" s="173" t="n"/>
      <c r="BP2" s="173" t="n"/>
      <c r="BQ2" s="173" t="n"/>
      <c r="BR2" s="173" t="n"/>
      <c r="BS2" s="194" t="n"/>
    </row>
    <row r="3">
      <c r="A3" s="12" t="n"/>
      <c r="B3" s="165">
        <f>"Woche " &amp; WEEKNUM(B4)</f>
        <v/>
      </c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  <c r="O3" s="167" t="n"/>
      <c r="P3" s="187">
        <f>"Woche " &amp; WEEKNUM(P4)</f>
        <v/>
      </c>
      <c r="Q3" s="166" t="n"/>
      <c r="R3" s="166" t="n"/>
      <c r="S3" s="166" t="n"/>
      <c r="T3" s="166" t="n"/>
      <c r="U3" s="166" t="n"/>
      <c r="V3" s="166" t="n"/>
      <c r="W3" s="166" t="n"/>
      <c r="X3" s="166" t="n"/>
      <c r="Y3" s="166" t="n"/>
      <c r="Z3" s="166" t="n"/>
      <c r="AA3" s="166" t="n"/>
      <c r="AB3" s="166" t="n"/>
      <c r="AC3" s="167" t="n"/>
      <c r="AD3" s="187">
        <f>"Woche " &amp; WEEKNUM(AD4)</f>
        <v/>
      </c>
      <c r="AE3" s="166" t="n"/>
      <c r="AF3" s="166" t="n"/>
      <c r="AG3" s="166" t="n"/>
      <c r="AH3" s="166" t="n"/>
      <c r="AI3" s="166" t="n"/>
      <c r="AJ3" s="166" t="n"/>
      <c r="AK3" s="166" t="n"/>
      <c r="AL3" s="166" t="n"/>
      <c r="AM3" s="166" t="n"/>
      <c r="AN3" s="166" t="n"/>
      <c r="AO3" s="166" t="n"/>
      <c r="AP3" s="166" t="n"/>
      <c r="AQ3" s="167" t="n"/>
      <c r="AR3" s="187">
        <f>"Woche " &amp; WEEKNUM(AR4)</f>
        <v/>
      </c>
      <c r="AS3" s="166" t="n"/>
      <c r="AT3" s="166" t="n"/>
      <c r="AU3" s="166" t="n"/>
      <c r="AV3" s="166" t="n"/>
      <c r="AW3" s="166" t="n"/>
      <c r="AX3" s="166" t="n"/>
      <c r="AY3" s="166" t="n"/>
      <c r="AZ3" s="166" t="n"/>
      <c r="BA3" s="166" t="n"/>
      <c r="BB3" s="166" t="n"/>
      <c r="BC3" s="166" t="n"/>
      <c r="BD3" s="166" t="n"/>
      <c r="BE3" s="167" t="n"/>
      <c r="BF3" s="187">
        <f>"Woche " &amp; WEEKNUM(BF4)</f>
        <v/>
      </c>
      <c r="BG3" s="166" t="n"/>
      <c r="BH3" s="166" t="n"/>
      <c r="BI3" s="166" t="n"/>
      <c r="BJ3" s="166" t="n"/>
      <c r="BK3" s="166" t="n"/>
      <c r="BL3" s="166" t="n"/>
      <c r="BM3" s="166" t="n"/>
      <c r="BN3" s="166" t="n"/>
      <c r="BO3" s="166" t="n"/>
      <c r="BP3" s="166" t="n"/>
      <c r="BQ3" s="166" t="n"/>
      <c r="BR3" s="166" t="n"/>
      <c r="BS3" s="167" t="n"/>
    </row>
    <row r="4">
      <c r="A4" s="13" t="n"/>
      <c r="B4" s="174">
        <f>B1</f>
        <v/>
      </c>
      <c r="C4" s="175" t="n"/>
      <c r="D4" s="174">
        <f>B4+1</f>
        <v/>
      </c>
      <c r="E4" s="175" t="n"/>
      <c r="F4" s="174">
        <f>D4+1</f>
        <v/>
      </c>
      <c r="G4" s="175" t="n"/>
      <c r="H4" s="174">
        <f>F4+1</f>
        <v/>
      </c>
      <c r="I4" s="175" t="n"/>
      <c r="J4" s="174">
        <f>H4+1</f>
        <v/>
      </c>
      <c r="K4" s="175" t="n"/>
      <c r="L4" s="174">
        <f>J4+1</f>
        <v/>
      </c>
      <c r="M4" s="175" t="n"/>
      <c r="N4" s="174">
        <f>L4+1</f>
        <v/>
      </c>
      <c r="O4" s="175" t="n"/>
      <c r="P4" s="174">
        <f>N4+1</f>
        <v/>
      </c>
      <c r="Q4" s="175" t="n"/>
      <c r="R4" s="174">
        <f>P4+1</f>
        <v/>
      </c>
      <c r="S4" s="175" t="n"/>
      <c r="T4" s="174">
        <f>R4+1</f>
        <v/>
      </c>
      <c r="U4" s="175" t="n"/>
      <c r="V4" s="174">
        <f>T4+1</f>
        <v/>
      </c>
      <c r="W4" s="175" t="n"/>
      <c r="X4" s="174">
        <f>V4+1</f>
        <v/>
      </c>
      <c r="Y4" s="175" t="n"/>
      <c r="Z4" s="174">
        <f>X4+1</f>
        <v/>
      </c>
      <c r="AA4" s="175" t="n"/>
      <c r="AB4" s="188">
        <f>Z4+1</f>
        <v/>
      </c>
      <c r="AC4" s="175" t="n"/>
      <c r="AD4" s="188">
        <f>AB4+1</f>
        <v/>
      </c>
      <c r="AE4" s="175" t="n"/>
      <c r="AF4" s="174">
        <f>AD4+1</f>
        <v/>
      </c>
      <c r="AG4" s="175" t="n"/>
      <c r="AH4" s="174">
        <f>AF4+1</f>
        <v/>
      </c>
      <c r="AI4" s="175" t="n"/>
      <c r="AJ4" s="174">
        <f>AH4+1</f>
        <v/>
      </c>
      <c r="AK4" s="175" t="n"/>
      <c r="AL4" s="174">
        <f>AJ4+1</f>
        <v/>
      </c>
      <c r="AM4" s="175" t="n"/>
      <c r="AN4" s="174">
        <f>AL4+1</f>
        <v/>
      </c>
      <c r="AO4" s="175" t="n"/>
      <c r="AP4" s="174">
        <f>AN4+1</f>
        <v/>
      </c>
      <c r="AQ4" s="175" t="n"/>
      <c r="AR4" s="174">
        <f>AP4+1</f>
        <v/>
      </c>
      <c r="AS4" s="175" t="n"/>
      <c r="AT4" s="174">
        <f>AR4+1</f>
        <v/>
      </c>
      <c r="AU4" s="175" t="n"/>
      <c r="AV4" s="174">
        <f>AT4+1</f>
        <v/>
      </c>
      <c r="AW4" s="175" t="n"/>
      <c r="AX4" s="174">
        <f>AV4+1</f>
        <v/>
      </c>
      <c r="AY4" s="175" t="n"/>
      <c r="AZ4" s="174">
        <f>AX4+1</f>
        <v/>
      </c>
      <c r="BA4" s="175" t="n"/>
      <c r="BB4" s="174">
        <f>AZ4+1</f>
        <v/>
      </c>
      <c r="BC4" s="175" t="n"/>
      <c r="BD4" s="174">
        <f>BB4+1</f>
        <v/>
      </c>
      <c r="BE4" s="175" t="n"/>
      <c r="BF4" s="174">
        <f>BD4+1</f>
        <v/>
      </c>
      <c r="BG4" s="175" t="n"/>
      <c r="BH4" s="174">
        <f>BF4+1</f>
        <v/>
      </c>
      <c r="BI4" s="175" t="n"/>
      <c r="BJ4" s="174">
        <f>BH4+1</f>
        <v/>
      </c>
      <c r="BK4" s="175" t="n"/>
      <c r="BL4" s="174">
        <f>BJ4+1</f>
        <v/>
      </c>
      <c r="BM4" s="175" t="n"/>
      <c r="BN4" s="174">
        <f>BL4+1</f>
        <v/>
      </c>
      <c r="BO4" s="175" t="n"/>
      <c r="BP4" s="174">
        <f>BN4+1</f>
        <v/>
      </c>
      <c r="BQ4" s="175" t="n"/>
      <c r="BR4" s="174">
        <f>BP4+1</f>
        <v/>
      </c>
      <c r="BS4" s="175" t="n"/>
    </row>
    <row r="5">
      <c r="A5" s="75" t="n"/>
      <c r="B5" s="198" t="inlineStr">
        <is>
          <t>Mo</t>
        </is>
      </c>
      <c r="C5" s="164" t="n"/>
      <c r="D5" s="163" t="inlineStr">
        <is>
          <t>Di</t>
        </is>
      </c>
      <c r="E5" s="164" t="n"/>
      <c r="F5" s="163" t="inlineStr">
        <is>
          <t>Mi</t>
        </is>
      </c>
      <c r="G5" s="164" t="n"/>
      <c r="H5" s="163" t="inlineStr">
        <is>
          <t>Do</t>
        </is>
      </c>
      <c r="I5" s="164" t="n"/>
      <c r="J5" s="163" t="inlineStr">
        <is>
          <t>Fr</t>
        </is>
      </c>
      <c r="K5" s="164" t="n"/>
      <c r="L5" s="163" t="inlineStr">
        <is>
          <t>Sa</t>
        </is>
      </c>
      <c r="M5" s="164" t="n"/>
      <c r="N5" s="163" t="inlineStr">
        <is>
          <t>So</t>
        </is>
      </c>
      <c r="O5" s="164" t="n"/>
      <c r="P5" s="170" t="inlineStr">
        <is>
          <t>Mo</t>
        </is>
      </c>
      <c r="Q5" s="164" t="n"/>
      <c r="R5" s="163" t="inlineStr">
        <is>
          <t>Di</t>
        </is>
      </c>
      <c r="S5" s="164" t="n"/>
      <c r="T5" s="163" t="inlineStr">
        <is>
          <t>Mi</t>
        </is>
      </c>
      <c r="U5" s="164" t="n"/>
      <c r="V5" s="163" t="inlineStr">
        <is>
          <t>Do</t>
        </is>
      </c>
      <c r="W5" s="164" t="n"/>
      <c r="X5" s="163" t="inlineStr">
        <is>
          <t>Fr</t>
        </is>
      </c>
      <c r="Y5" s="164" t="n"/>
      <c r="Z5" s="163" t="inlineStr">
        <is>
          <t>Sa</t>
        </is>
      </c>
      <c r="AA5" s="164" t="n"/>
      <c r="AB5" s="163" t="inlineStr">
        <is>
          <t>So</t>
        </is>
      </c>
      <c r="AC5" s="164" t="n"/>
      <c r="AD5" s="170" t="inlineStr">
        <is>
          <t>Mo</t>
        </is>
      </c>
      <c r="AE5" s="164" t="n"/>
      <c r="AF5" s="163" t="inlineStr">
        <is>
          <t>Di</t>
        </is>
      </c>
      <c r="AG5" s="164" t="n"/>
      <c r="AH5" s="163" t="inlineStr">
        <is>
          <t>Mi</t>
        </is>
      </c>
      <c r="AI5" s="164" t="n"/>
      <c r="AJ5" s="163" t="inlineStr">
        <is>
          <t>Do</t>
        </is>
      </c>
      <c r="AK5" s="164" t="n"/>
      <c r="AL5" s="163" t="inlineStr">
        <is>
          <t>Fr</t>
        </is>
      </c>
      <c r="AM5" s="164" t="n"/>
      <c r="AN5" s="163" t="inlineStr">
        <is>
          <t>Sa</t>
        </is>
      </c>
      <c r="AO5" s="164" t="n"/>
      <c r="AP5" s="163" t="inlineStr">
        <is>
          <t>So</t>
        </is>
      </c>
      <c r="AQ5" s="164" t="n"/>
      <c r="AR5" s="170" t="inlineStr">
        <is>
          <t>Mo</t>
        </is>
      </c>
      <c r="AS5" s="164" t="n"/>
      <c r="AT5" s="163" t="inlineStr">
        <is>
          <t>Di</t>
        </is>
      </c>
      <c r="AU5" s="164" t="n"/>
      <c r="AV5" s="163" t="inlineStr">
        <is>
          <t>Mi</t>
        </is>
      </c>
      <c r="AW5" s="164" t="n"/>
      <c r="AX5" s="163" t="inlineStr">
        <is>
          <t>Do</t>
        </is>
      </c>
      <c r="AY5" s="164" t="n"/>
      <c r="AZ5" s="163" t="inlineStr">
        <is>
          <t>Fr</t>
        </is>
      </c>
      <c r="BA5" s="164" t="n"/>
      <c r="BB5" s="163" t="inlineStr">
        <is>
          <t>Sa</t>
        </is>
      </c>
      <c r="BC5" s="164" t="n"/>
      <c r="BD5" s="163" t="inlineStr">
        <is>
          <t>So</t>
        </is>
      </c>
      <c r="BE5" s="164" t="n"/>
      <c r="BF5" s="170" t="inlineStr">
        <is>
          <t>Mo</t>
        </is>
      </c>
      <c r="BG5" s="164" t="n"/>
      <c r="BH5" s="163" t="inlineStr">
        <is>
          <t>Di</t>
        </is>
      </c>
      <c r="BI5" s="164" t="n"/>
      <c r="BJ5" s="163" t="inlineStr">
        <is>
          <t>Mi</t>
        </is>
      </c>
      <c r="BK5" s="164" t="n"/>
      <c r="BL5" s="163" t="inlineStr">
        <is>
          <t>Do</t>
        </is>
      </c>
      <c r="BM5" s="164" t="n"/>
      <c r="BN5" s="163" t="inlineStr">
        <is>
          <t>Fr</t>
        </is>
      </c>
      <c r="BO5" s="164" t="n"/>
      <c r="BP5" s="163" t="inlineStr">
        <is>
          <t>Sa</t>
        </is>
      </c>
      <c r="BQ5" s="164" t="n"/>
      <c r="BR5" s="163" t="inlineStr">
        <is>
          <t>So</t>
        </is>
      </c>
      <c r="BS5" s="164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n"/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33" t="n"/>
      <c r="M9" s="34" t="n"/>
      <c r="N9" s="33" t="n"/>
      <c r="O9" s="35" t="n"/>
      <c r="P9" s="32" t="n"/>
      <c r="Q9" s="31" t="n"/>
      <c r="R9" s="9" t="n"/>
      <c r="S9" s="10" t="n"/>
      <c r="T9" s="9" t="n"/>
      <c r="U9" s="10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t="12.75" customHeight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t="12.75" customHeight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t="12.75" customHeight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32" t="n"/>
      <c r="Q13" s="31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t="12.75" customHeight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t="12.75" customHeight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t="12.75" customHeight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32" t="n"/>
      <c r="Q17" s="31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 und Bohren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82" t="inlineStr">
        <is>
          <t>Baupiste B2 + 3 Randtische B3</t>
        </is>
      </c>
      <c r="B19" s="79" t="n"/>
      <c r="C19" s="80" t="n"/>
      <c r="D19" s="81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82" t="inlineStr">
        <is>
          <t>4.1 Fertig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82" t="inlineStr">
        <is>
          <t>4.2 (2216 fertigstellen)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" t="n"/>
      <c r="AK21" s="10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82" t="n">
        <v>1.6</v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89" t="n"/>
      <c r="T22" s="90" t="n"/>
      <c r="U22" s="89" t="n"/>
      <c r="V22" s="90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82" t="n">
        <v>5.1</v>
      </c>
      <c r="B23" s="83" t="n"/>
      <c r="C23" s="84" t="n"/>
      <c r="D23" s="85" t="n"/>
      <c r="E23" s="84" t="n"/>
      <c r="F23" s="85" t="n"/>
      <c r="G23" s="84" t="n"/>
      <c r="H23" s="85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82" t="n">
        <v>4.3</v>
      </c>
      <c r="B24" s="32" t="n"/>
      <c r="C24" s="31" t="n"/>
      <c r="D24" s="9" t="n"/>
      <c r="E24" s="10" t="n"/>
      <c r="F24" s="9" t="n"/>
      <c r="G24" s="10" t="n"/>
      <c r="H24" s="9" t="n"/>
      <c r="I24" s="80" t="n"/>
      <c r="J24" s="81" t="n"/>
      <c r="K24" s="80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82" t="n">
        <v>4.4</v>
      </c>
      <c r="B25" s="32" t="n"/>
      <c r="C25" s="31" t="n"/>
      <c r="D25" s="9" t="n"/>
      <c r="E25" s="10" t="n"/>
      <c r="F25" s="9" t="n"/>
      <c r="G25" s="10" t="n"/>
      <c r="H25" s="9" t="n"/>
      <c r="I25" s="84" t="n"/>
      <c r="J25" s="85" t="n"/>
      <c r="K25" s="84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82" t="n">
        <v>5.2</v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81" t="n"/>
      <c r="W26" s="80" t="n"/>
      <c r="X26" s="81" t="n"/>
      <c r="Y26" s="80" t="n"/>
      <c r="Z26" s="26" t="n"/>
      <c r="AA26" s="27" t="n"/>
      <c r="AB26" s="26" t="n"/>
      <c r="AC26" s="28" t="n"/>
      <c r="AD26" s="79" t="n"/>
      <c r="AE26" s="80" t="n"/>
      <c r="AF26" s="81" t="n"/>
      <c r="AG26" s="80" t="n"/>
      <c r="AH26" s="81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82" t="n">
        <v>5.3</v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85" t="n"/>
      <c r="W27" s="84" t="n"/>
      <c r="X27" s="85" t="n"/>
      <c r="Y27" s="84" t="n"/>
      <c r="Z27" s="26" t="n"/>
      <c r="AA27" s="27" t="n"/>
      <c r="AB27" s="26" t="n"/>
      <c r="AC27" s="28" t="n"/>
      <c r="AD27" s="83" t="n"/>
      <c r="AE27" s="84" t="n"/>
      <c r="AF27" s="85" t="n"/>
      <c r="AG27" s="84" t="n"/>
      <c r="AH27" s="85" t="n"/>
      <c r="AI27" s="84" t="n"/>
      <c r="AJ27" s="85" t="n"/>
      <c r="AK27" s="84" t="n"/>
      <c r="AL27" s="85" t="n"/>
      <c r="AM27" s="84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82" t="n">
        <v>4.5</v>
      </c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80" t="n"/>
      <c r="AJ28" s="81" t="n"/>
      <c r="AK28" s="80" t="n"/>
      <c r="AL28" s="81" t="n"/>
      <c r="AM28" s="80" t="n"/>
      <c r="AN28" s="26" t="n"/>
      <c r="AO28" s="27" t="n"/>
      <c r="AP28" s="26" t="n"/>
      <c r="AQ28" s="28" t="n"/>
      <c r="AR28" s="79" t="n"/>
      <c r="AS28" s="80" t="n"/>
      <c r="AT28" s="81" t="n"/>
      <c r="AU28" s="80" t="n"/>
      <c r="AV28" s="81" t="n"/>
      <c r="AW28" s="80" t="n"/>
      <c r="AX28" s="81" t="n"/>
      <c r="AY28" s="80" t="n"/>
      <c r="AZ28" s="81" t="n"/>
      <c r="BA28" s="8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82" t="n">
        <v>5.4</v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83" t="n"/>
      <c r="AS29" s="84" t="n"/>
      <c r="AT29" s="85" t="n"/>
      <c r="AU29" s="84" t="n"/>
      <c r="AV29" s="85" t="n"/>
      <c r="AW29" s="84" t="n"/>
      <c r="AX29" s="85" t="n"/>
      <c r="AY29" s="84" t="n"/>
      <c r="AZ29" s="85" t="n"/>
      <c r="BA29" s="84" t="n"/>
      <c r="BB29" s="26" t="n"/>
      <c r="BC29" s="27" t="n"/>
      <c r="BD29" s="26" t="n"/>
      <c r="BE29" s="28" t="n"/>
      <c r="BF29" s="83" t="n"/>
      <c r="BG29" s="84" t="n"/>
      <c r="BH29" s="85" t="n"/>
      <c r="BI29" s="84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82" t="n">
        <v>5.5</v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79" t="n"/>
      <c r="BG30" s="80" t="n"/>
      <c r="BH30" s="81" t="n"/>
      <c r="BI30" s="80" t="n"/>
      <c r="BJ30" s="81" t="n"/>
      <c r="BK30" s="80" t="n"/>
      <c r="BL30" s="81" t="n"/>
      <c r="BM30" s="80" t="n"/>
      <c r="BN30" s="81" t="n"/>
      <c r="BO30" s="80" t="n"/>
      <c r="BP30" s="26" t="n"/>
      <c r="BQ30" s="27" t="n"/>
      <c r="BR30" s="26" t="n"/>
      <c r="BS30" s="28" t="n"/>
    </row>
    <row r="31">
      <c r="A31" s="18" t="inlineStr">
        <is>
          <t>Bohren (30 Pfähle pro Tag)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32" t="n"/>
      <c r="Q31" s="31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36" t="n"/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53" t="inlineStr">
        <is>
          <t>Pfahlköpfe 2.2 fertig montieren</t>
        </is>
      </c>
      <c r="B33" s="32" t="n"/>
      <c r="C33" s="31" t="n"/>
      <c r="D33" s="29" t="n"/>
      <c r="E33" s="20" t="n"/>
      <c r="F33" s="29" t="n"/>
      <c r="G33" s="20" t="n"/>
      <c r="H33" s="29" t="n"/>
      <c r="I33" s="20" t="n"/>
      <c r="J33" s="29" t="n"/>
      <c r="K33" s="2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15" t="n"/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 hidden="1">
      <c r="A35" s="71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 hidden="1">
      <c r="A36" s="71" t="n"/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 hidden="1">
      <c r="A37" s="36" t="n"/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32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 hidden="1">
      <c r="A38" s="36" t="n"/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 hidden="1">
      <c r="A39" s="36" t="n"/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32" t="n"/>
      <c r="Q39" s="31" t="n"/>
      <c r="R39" s="9" t="n"/>
      <c r="S39" s="10" t="n"/>
      <c r="T39" s="9" t="n"/>
      <c r="U39" s="10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9" t="n"/>
      <c r="AG39" s="10" t="n"/>
      <c r="AH39" s="9" t="n"/>
      <c r="AI39" s="10" t="n"/>
      <c r="AJ39" s="9" t="n"/>
      <c r="AK39" s="10" t="n"/>
      <c r="AL39" s="9" t="n"/>
      <c r="AM39" s="10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26" t="n"/>
      <c r="BQ39" s="27" t="n"/>
      <c r="BR39" s="26" t="n"/>
      <c r="BS39" s="28" t="n"/>
    </row>
    <row r="40" hidden="1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 hidden="1">
      <c r="A41" s="36" t="n"/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26" t="n"/>
      <c r="AA41" s="27" t="n"/>
      <c r="AB41" s="26" t="n"/>
      <c r="AC41" s="28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 hidden="1">
      <c r="A42" s="36" t="n"/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26" t="n"/>
      <c r="AO42" s="27" t="n"/>
      <c r="AP42" s="26" t="n"/>
      <c r="AQ42" s="28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26" t="n"/>
      <c r="BQ42" s="27" t="n"/>
      <c r="BR42" s="26" t="n"/>
      <c r="BS42" s="28" t="n"/>
    </row>
    <row r="43" hidden="1">
      <c r="A43" s="36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36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71" t="n"/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36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5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 ht="12.75" customHeight="1">
      <c r="A48" s="18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 hidden="1" ht="12.75" customHeight="1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 hidden="1" ht="12.75" customHeight="1">
      <c r="A50" s="15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 hidden="1" ht="12.75" customHeight="1">
      <c r="A51" s="18" t="n"/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 hidden="1" ht="12.75" customHeight="1">
      <c r="A52" s="15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26" t="n"/>
      <c r="M52" s="27" t="n"/>
      <c r="N52" s="26" t="n"/>
      <c r="O52" s="28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26" t="n"/>
      <c r="AA52" s="27" t="n"/>
      <c r="AB52" s="26" t="n"/>
      <c r="AC52" s="28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26" t="n"/>
      <c r="AO52" s="27" t="n"/>
      <c r="AP52" s="26" t="n"/>
      <c r="AQ52" s="28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26" t="n"/>
      <c r="BC52" s="27" t="n"/>
      <c r="BD52" s="26" t="n"/>
      <c r="BE52" s="28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26" t="n"/>
      <c r="BQ52" s="27" t="n"/>
      <c r="BR52" s="26" t="n"/>
      <c r="BS52" s="28" t="n"/>
    </row>
    <row r="53">
      <c r="A53" s="15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26" t="n"/>
      <c r="M53" s="27" t="n"/>
      <c r="N53" s="26" t="n"/>
      <c r="O53" s="28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26" t="n"/>
      <c r="AA53" s="27" t="n"/>
      <c r="AB53" s="26" t="n"/>
      <c r="AC53" s="28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26" t="n"/>
      <c r="AO53" s="27" t="n"/>
      <c r="AP53" s="26" t="n"/>
      <c r="AQ53" s="28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26" t="n"/>
      <c r="BC53" s="27" t="n"/>
      <c r="BD53" s="26" t="n"/>
      <c r="BE53" s="28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26" t="n"/>
      <c r="BQ53" s="27" t="n"/>
      <c r="BR53" s="26" t="n"/>
      <c r="BS53" s="28" t="n"/>
    </row>
    <row r="54">
      <c r="A54" s="65" t="inlineStr">
        <is>
          <t>Stahlbau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26" t="n"/>
      <c r="M54" s="27" t="n"/>
      <c r="N54" s="26" t="n"/>
      <c r="O54" s="28" t="n"/>
      <c r="P54" s="32" t="n"/>
      <c r="Q54" s="31" t="n"/>
      <c r="R54" s="9" t="n"/>
      <c r="S54" s="10" t="n"/>
      <c r="T54" s="9" t="n"/>
      <c r="U54" s="10" t="n"/>
      <c r="V54" s="9" t="n"/>
      <c r="W54" s="10" t="n"/>
      <c r="X54" s="9" t="n"/>
      <c r="Y54" s="10" t="n"/>
      <c r="Z54" s="26" t="n"/>
      <c r="AA54" s="27" t="n"/>
      <c r="AB54" s="26" t="n"/>
      <c r="AC54" s="28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26" t="n"/>
      <c r="AO54" s="27" t="n"/>
      <c r="AP54" s="26" t="n"/>
      <c r="AQ54" s="28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26" t="n"/>
      <c r="BC54" s="27" t="n"/>
      <c r="BD54" s="26" t="n"/>
      <c r="BE54" s="28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26" t="n"/>
      <c r="BQ54" s="27" t="n"/>
      <c r="BR54" s="26" t="n"/>
      <c r="BS54" s="28" t="n"/>
    </row>
    <row r="55">
      <c r="A55" s="65" t="inlineStr">
        <is>
          <t xml:space="preserve">  Lieferungen Passstuecke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26" t="n"/>
      <c r="M55" s="27" t="n"/>
      <c r="N55" s="26" t="n"/>
      <c r="O55" s="28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26" t="n"/>
      <c r="AA55" s="27" t="n"/>
      <c r="AB55" s="26" t="n"/>
      <c r="AC55" s="28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26" t="n"/>
      <c r="AO55" s="27" t="n"/>
      <c r="AP55" s="26" t="n"/>
      <c r="AQ55" s="28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26" t="n"/>
      <c r="BC55" s="27" t="n"/>
      <c r="BD55" s="26" t="n"/>
      <c r="BE55" s="28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26" t="n"/>
      <c r="BQ55" s="27" t="n"/>
      <c r="BR55" s="26" t="n"/>
      <c r="BS55" s="28" t="n"/>
    </row>
    <row r="56">
      <c r="A56" s="67" t="inlineStr">
        <is>
          <t xml:space="preserve">    Order Batch 7 (Rest 1.4, 2.1)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54" t="inlineStr">
        <is>
          <t>X</t>
        </is>
      </c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inlineStr">
        <is>
          <t xml:space="preserve">    Order Batch 8 (2.1 und 2.2)</t>
        </is>
      </c>
      <c r="B57" s="32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49" t="inlineStr">
        <is>
          <t>X</t>
        </is>
      </c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7" t="inlineStr">
        <is>
          <t xml:space="preserve">    Order Batch 9 (4.1)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32" t="n"/>
      <c r="Q58" s="31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54" t="inlineStr">
        <is>
          <t>X</t>
        </is>
      </c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7" t="inlineStr">
        <is>
          <t xml:space="preserve">    Order Batch 10 (2 Tische aus 2.2, Jürg muss vorziehen..)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8" t="n"/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5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4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n"/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4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n"/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32" t="n"/>
      <c r="Q63" s="31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5" t="inlineStr">
        <is>
          <t xml:space="preserve">  Stahlbau Berg (5 Tische pro Tag, 0.13Pr, 0.06Mt)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4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5" t="inlineStr">
        <is>
          <t xml:space="preserve">    Primaerkonstruktionen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inlineStr">
        <is>
          <t xml:space="preserve">    26_3.1 (Detailplan)</t>
        </is>
      </c>
      <c r="B66" s="203" t="inlineStr">
        <is>
          <t>Stapel: 39, 43, 42, 44, 
und Teile aus 45</t>
        </is>
      </c>
      <c r="C66" s="204" t="n"/>
      <c r="D66" s="204" t="n"/>
      <c r="E66" s="204" t="n"/>
      <c r="F66" s="204" t="n"/>
      <c r="G66" s="204" t="n"/>
      <c r="H66" s="204" t="n"/>
      <c r="I66" s="204" t="n"/>
      <c r="J66" s="204" t="n"/>
      <c r="K66" s="205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6" t="inlineStr">
        <is>
          <t xml:space="preserve">    26_1.4 (Detailplan)</t>
        </is>
      </c>
      <c r="B67" s="181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206" t="n"/>
      <c r="L67" s="33" t="n"/>
      <c r="M67" s="34" t="n"/>
      <c r="N67" s="33" t="n"/>
      <c r="O67" s="35" t="n"/>
      <c r="P67" s="79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26_1.5 (Detailplan)</t>
        </is>
      </c>
      <c r="B68" s="181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206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9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26_3.2(Detailplan)</t>
        </is>
      </c>
      <c r="B69" s="207" t="n"/>
      <c r="C69" s="208" t="n"/>
      <c r="D69" s="208" t="n"/>
      <c r="E69" s="208" t="n"/>
      <c r="F69" s="208" t="n"/>
      <c r="G69" s="208" t="n"/>
      <c r="H69" s="208" t="n"/>
      <c r="I69" s="208" t="n"/>
      <c r="J69" s="208" t="n"/>
      <c r="K69" s="209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26_PZ2025 Prio 1 (1625, 486, 485)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80" t="n"/>
      <c r="R70" s="81" t="n"/>
      <c r="S70" s="8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26_PZ2025 Prio 2 (415, 412, 390)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32" t="n"/>
      <c r="Q71" s="80" t="n"/>
      <c r="R71" s="81" t="n"/>
      <c r="S71" s="8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26_PZ2025 Prio 3 (1623, 162?...)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81" t="n"/>
      <c r="U72" s="8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inlineStr">
        <is>
          <t xml:space="preserve">    26_2.1 und 26_2.2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210" t="inlineStr">
        <is>
          <t>Stapel 45, 36</t>
        </is>
      </c>
      <c r="W73" s="211" t="n"/>
      <c r="X73" s="211" t="n"/>
      <c r="Y73" s="212" t="n"/>
      <c r="Z73" s="33" t="n"/>
      <c r="AA73" s="34" t="n"/>
      <c r="AB73" s="33" t="n"/>
      <c r="AC73" s="35" t="n"/>
      <c r="AD73" s="213" t="inlineStr">
        <is>
          <t>Stapel 46 + 47</t>
        </is>
      </c>
      <c r="AE73" s="211" t="n"/>
      <c r="AF73" s="211" t="n"/>
      <c r="AG73" s="211" t="n"/>
      <c r="AH73" s="211" t="n"/>
      <c r="AI73" s="211" t="n"/>
      <c r="AJ73" s="211" t="n"/>
      <c r="AK73" s="211" t="n"/>
      <c r="AL73" s="211" t="n"/>
      <c r="AM73" s="212" t="n"/>
      <c r="AN73" s="33" t="n"/>
      <c r="AO73" s="34" t="n"/>
      <c r="AP73" s="33" t="n"/>
      <c r="AQ73" s="35" t="n"/>
      <c r="AR73" s="79" t="inlineStr">
        <is>
          <t>Stapel 46 + 47</t>
        </is>
      </c>
      <c r="AS73" s="80" t="n"/>
      <c r="AT73" s="81" t="n"/>
      <c r="AU73" s="80" t="n"/>
      <c r="AV73" s="81" t="n"/>
      <c r="AW73" s="8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Fertigstellung 26_1.1, 1.2, 1.3 Falsche Tischhöhen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81" t="n"/>
      <c r="AY74" s="80" t="n"/>
      <c r="AZ74" s="81" t="n"/>
      <c r="BA74" s="80" t="n"/>
      <c r="BB74" s="33" t="n"/>
      <c r="BC74" s="34" t="n"/>
      <c r="BD74" s="33" t="n"/>
      <c r="BE74" s="35" t="n"/>
      <c r="BF74" s="79" t="n"/>
      <c r="BG74" s="80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Baupiste B2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81" t="n"/>
      <c r="BI75" s="80" t="n"/>
      <c r="BJ75" s="81" t="n"/>
      <c r="BK75" s="80" t="n"/>
      <c r="BL75" s="81" t="n"/>
      <c r="BM75" s="80" t="n"/>
      <c r="BN75" s="81" t="n"/>
      <c r="BO75" s="80" t="n"/>
      <c r="BP75" s="33" t="n"/>
      <c r="BQ75" s="34" t="n"/>
      <c r="BR75" s="33" t="n"/>
      <c r="BS75" s="35" t="n"/>
    </row>
    <row r="76">
      <c r="A76" s="78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32" t="n"/>
      <c r="Q78" s="31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5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6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n"/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9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n"/>
      <c r="B83" s="32" t="n"/>
      <c r="C83" s="31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45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32" t="n"/>
      <c r="Q84" s="31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8" t="inlineStr">
        <is>
          <t>Erdbau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32" t="n"/>
      <c r="Q85" s="31" t="n"/>
      <c r="R85" s="9" t="n"/>
      <c r="S85" s="10" t="n"/>
      <c r="T85" s="9" t="n"/>
      <c r="U85" s="10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5" t="inlineStr">
        <is>
          <t>Bis D1 Graben</t>
        </is>
      </c>
      <c r="B86" s="86" t="n"/>
      <c r="C86" s="87" t="n"/>
      <c r="D86" s="88" t="n"/>
      <c r="E86" s="87" t="n"/>
      <c r="F86" s="88" t="n"/>
      <c r="G86" s="87" t="n"/>
      <c r="H86" s="88" t="n"/>
      <c r="I86" s="87" t="n"/>
      <c r="J86" s="88" t="n"/>
      <c r="K86" s="87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5" t="inlineStr">
        <is>
          <t>Piste D wenn Ferien vorbei Fabian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42" t="n"/>
      <c r="AJ87" s="58" t="n"/>
      <c r="AK87" s="42" t="n"/>
      <c r="AL87" s="58" t="n"/>
      <c r="AM87" s="42" t="n"/>
      <c r="AN87" s="33" t="n"/>
      <c r="AO87" s="34" t="n"/>
      <c r="AP87" s="33" t="n"/>
      <c r="AQ87" s="35" t="n"/>
      <c r="AR87" s="41" t="n"/>
      <c r="AS87" s="42" t="n"/>
      <c r="AT87" s="58" t="n"/>
      <c r="AU87" s="42" t="n"/>
      <c r="AV87" s="58" t="n"/>
      <c r="AW87" s="42" t="n"/>
      <c r="AX87" s="58" t="n"/>
      <c r="AY87" s="42" t="n"/>
      <c r="AZ87" s="58" t="n"/>
      <c r="BA87" s="42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45" t="inlineStr">
        <is>
          <t>Feinverteilung C Camatex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86" t="n"/>
      <c r="AE88" s="87" t="n"/>
      <c r="AF88" s="88" t="n"/>
      <c r="AG88" s="87" t="n"/>
      <c r="AH88" s="88" t="n"/>
      <c r="AI88" s="87" t="n"/>
      <c r="AJ88" s="88" t="n"/>
      <c r="AK88" s="87" t="n"/>
      <c r="AL88" s="88" t="n"/>
      <c r="AM88" s="87" t="n"/>
      <c r="AN88" s="33" t="n"/>
      <c r="AO88" s="34" t="n"/>
      <c r="AP88" s="33" t="n"/>
      <c r="AQ88" s="35" t="n"/>
      <c r="AR88" s="86" t="n"/>
      <c r="AS88" s="87" t="n"/>
      <c r="AT88" s="88" t="n"/>
      <c r="AU88" s="87" t="n"/>
      <c r="AV88" s="88" t="n"/>
      <c r="AW88" s="87" t="n"/>
      <c r="AX88" s="88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45" t="inlineStr">
        <is>
          <t>Betonspur im September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 ht="13.5" customHeight="1" thickBot="1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 hidden="1">
      <c r="A91" s="45" t="n"/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 hidden="1">
      <c r="A92" s="45" t="n"/>
      <c r="B92" s="32" t="n"/>
      <c r="C92" s="31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8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65" t="n"/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3" t="n"/>
      <c r="M94" s="34" t="n"/>
      <c r="N94" s="33" t="n"/>
      <c r="O94" s="35" t="n"/>
      <c r="P94" s="32" t="n"/>
      <c r="Q94" s="31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65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 hidden="1">
      <c r="A96" s="65" t="n"/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 hidden="1">
      <c r="A97" s="66" t="n"/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 hidden="1">
      <c r="A98" s="65" t="n"/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 hidden="1">
      <c r="A99" s="66" t="n"/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9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 hidden="1">
      <c r="A100" s="66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32" t="n"/>
      <c r="Q100" s="31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 hidden="1">
      <c r="A101" s="65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66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66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9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66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65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>
      <c r="A107" s="66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idden="1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32" t="n"/>
      <c r="Q108" s="31" t="n"/>
      <c r="R108" s="9" t="n"/>
      <c r="S108" s="10" t="n"/>
      <c r="T108" s="9" t="n"/>
      <c r="U108" s="10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9" t="n"/>
      <c r="AK108" s="10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 hidden="1">
      <c r="A109" s="65" t="n"/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32" t="n"/>
      <c r="Q109" s="31" t="n"/>
      <c r="R109" s="9" t="n"/>
      <c r="S109" s="10" t="n"/>
      <c r="T109" s="9" t="n"/>
      <c r="U109" s="10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9" t="n"/>
      <c r="AK109" s="10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 hidden="1">
      <c r="A110" s="66" t="n"/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32" t="n"/>
      <c r="Q110" s="31" t="n"/>
      <c r="R110" s="9" t="n"/>
      <c r="S110" s="10" t="n"/>
      <c r="T110" s="9" t="n"/>
      <c r="U110" s="10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9" t="n"/>
      <c r="AK110" s="10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 hidden="1">
      <c r="A111" s="67" t="n"/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32" t="n"/>
      <c r="Q111" s="31" t="n"/>
      <c r="R111" s="9" t="n"/>
      <c r="S111" s="10" t="n"/>
      <c r="T111" s="9" t="n"/>
      <c r="U111" s="10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9" t="n"/>
      <c r="AK111" s="10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 hidden="1">
      <c r="A112" s="67" t="n"/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32" t="n"/>
      <c r="Q112" s="31" t="n"/>
      <c r="R112" s="9" t="n"/>
      <c r="S112" s="10" t="n"/>
      <c r="T112" s="9" t="n"/>
      <c r="U112" s="10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9" t="n"/>
      <c r="AK112" s="10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 hidden="1" ht="13.5" customHeight="1" thickBot="1">
      <c r="A113" s="67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32" t="n"/>
      <c r="Q113" s="31" t="n"/>
      <c r="R113" s="9" t="n"/>
      <c r="S113" s="10" t="n"/>
      <c r="T113" s="9" t="n"/>
      <c r="U113" s="10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9" t="n"/>
      <c r="AK113" s="10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 ht="13.5" customHeight="1" thickBot="1">
      <c r="A114" s="16" t="inlineStr">
        <is>
          <t>Personalbedarf (inkl. Polier)</t>
        </is>
      </c>
      <c r="B114" s="171" t="n">
        <v>22</v>
      </c>
      <c r="C114" s="162" t="n"/>
      <c r="D114" s="161" t="n">
        <v>22</v>
      </c>
      <c r="E114" s="162" t="n"/>
      <c r="F114" s="161" t="n">
        <v>22</v>
      </c>
      <c r="G114" s="162" t="n"/>
      <c r="H114" s="161" t="n">
        <v>22</v>
      </c>
      <c r="I114" s="162" t="n"/>
      <c r="J114" s="161" t="n">
        <v>22</v>
      </c>
      <c r="K114" s="162" t="n"/>
      <c r="L114" s="161" t="n">
        <v>0</v>
      </c>
      <c r="M114" s="162" t="n"/>
      <c r="N114" s="161" t="n">
        <v>0</v>
      </c>
      <c r="O114" s="162" t="n"/>
      <c r="P114" s="171" t="n">
        <v>22</v>
      </c>
      <c r="Q114" s="162" t="n"/>
      <c r="R114" s="161" t="n">
        <v>22</v>
      </c>
      <c r="S114" s="162" t="n"/>
      <c r="T114" s="161" t="n">
        <v>22</v>
      </c>
      <c r="U114" s="162" t="n"/>
      <c r="V114" s="161" t="n">
        <v>22</v>
      </c>
      <c r="W114" s="162" t="n"/>
      <c r="X114" s="161" t="n">
        <v>22</v>
      </c>
      <c r="Y114" s="162" t="n"/>
      <c r="Z114" s="161" t="n">
        <v>0</v>
      </c>
      <c r="AA114" s="162" t="n"/>
      <c r="AB114" s="161" t="n">
        <v>0</v>
      </c>
      <c r="AC114" s="162" t="n"/>
      <c r="AD114" s="171" t="n">
        <v>22</v>
      </c>
      <c r="AE114" s="162" t="n"/>
      <c r="AF114" s="161" t="n">
        <v>22</v>
      </c>
      <c r="AG114" s="162" t="n"/>
      <c r="AH114" s="161" t="n">
        <v>22</v>
      </c>
      <c r="AI114" s="162" t="n"/>
      <c r="AJ114" s="161" t="n">
        <v>22</v>
      </c>
      <c r="AK114" s="162" t="n"/>
      <c r="AL114" s="161" t="n">
        <v>22</v>
      </c>
      <c r="AM114" s="162" t="n"/>
      <c r="AN114" s="161" t="n">
        <v>0</v>
      </c>
      <c r="AO114" s="162" t="n"/>
      <c r="AP114" s="161" t="n">
        <v>0</v>
      </c>
      <c r="AQ114" s="162" t="n"/>
      <c r="AR114" s="171" t="n">
        <v>22</v>
      </c>
      <c r="AS114" s="162" t="n"/>
      <c r="AT114" s="161" t="n">
        <v>22</v>
      </c>
      <c r="AU114" s="162" t="n"/>
      <c r="AV114" s="161" t="n">
        <v>22</v>
      </c>
      <c r="AW114" s="162" t="n"/>
      <c r="AX114" s="161" t="n">
        <v>22</v>
      </c>
      <c r="AY114" s="162" t="n"/>
      <c r="AZ114" s="161" t="n">
        <v>22</v>
      </c>
      <c r="BA114" s="162" t="n"/>
      <c r="BB114" s="161" t="n">
        <v>0</v>
      </c>
      <c r="BC114" s="162" t="n"/>
      <c r="BD114" s="161" t="n">
        <v>0</v>
      </c>
      <c r="BE114" s="162" t="n"/>
      <c r="BF114" s="171" t="n">
        <v>22</v>
      </c>
      <c r="BG114" s="162" t="n"/>
      <c r="BH114" s="161" t="n">
        <v>22</v>
      </c>
      <c r="BI114" s="162" t="n"/>
      <c r="BJ114" s="161" t="n">
        <v>22</v>
      </c>
      <c r="BK114" s="162" t="n"/>
      <c r="BL114" s="161" t="n">
        <v>22</v>
      </c>
      <c r="BM114" s="162" t="n"/>
      <c r="BN114" s="161" t="n">
        <v>22</v>
      </c>
      <c r="BO114" s="162" t="n"/>
      <c r="BP114" s="161" t="n">
        <v>0</v>
      </c>
      <c r="BQ114" s="162" t="n"/>
      <c r="BR114" s="161" t="n">
        <v>0</v>
      </c>
      <c r="BS114" s="162" t="n"/>
    </row>
    <row r="115" ht="12.75" customHeight="1">
      <c r="A115" s="17" t="inlineStr">
        <is>
          <t>Bemerkungen</t>
        </is>
      </c>
      <c r="B115" s="176" t="n"/>
      <c r="C115" s="166" t="n"/>
      <c r="D115" s="166" t="n"/>
      <c r="E115" s="166" t="n"/>
      <c r="F115" s="166" t="n"/>
      <c r="G115" s="166" t="n"/>
      <c r="H115" s="166" t="n"/>
      <c r="I115" s="166" t="n"/>
      <c r="J115" s="166" t="n"/>
      <c r="K115" s="166" t="n"/>
      <c r="L115" s="166" t="n"/>
      <c r="M115" s="166" t="n"/>
      <c r="N115" s="166" t="n"/>
      <c r="O115" s="177" t="n"/>
      <c r="P115" s="176" t="n"/>
      <c r="Q115" s="166" t="n"/>
      <c r="R115" s="166" t="n"/>
      <c r="S115" s="166" t="n"/>
      <c r="T115" s="166" t="n"/>
      <c r="U115" s="166" t="n"/>
      <c r="V115" s="166" t="n"/>
      <c r="W115" s="166" t="n"/>
      <c r="X115" s="166" t="n"/>
      <c r="Y115" s="166" t="n"/>
      <c r="Z115" s="166" t="n"/>
      <c r="AA115" s="166" t="n"/>
      <c r="AB115" s="166" t="n"/>
      <c r="AC115" s="177" t="n"/>
      <c r="AD115" s="176" t="n"/>
      <c r="AE115" s="166" t="n"/>
      <c r="AF115" s="166" t="n"/>
      <c r="AG115" s="166" t="n"/>
      <c r="AH115" s="166" t="n"/>
      <c r="AI115" s="166" t="n"/>
      <c r="AJ115" s="166" t="n"/>
      <c r="AK115" s="166" t="n"/>
      <c r="AL115" s="166" t="n"/>
      <c r="AM115" s="166" t="n"/>
      <c r="AN115" s="166" t="n"/>
      <c r="AO115" s="166" t="n"/>
      <c r="AP115" s="166" t="n"/>
      <c r="AQ115" s="177" t="n"/>
      <c r="AR115" s="176" t="n"/>
      <c r="AS115" s="166" t="n"/>
      <c r="AT115" s="166" t="n"/>
      <c r="AU115" s="166" t="n"/>
      <c r="AV115" s="166" t="n"/>
      <c r="AW115" s="166" t="n"/>
      <c r="AX115" s="166" t="n"/>
      <c r="AY115" s="166" t="n"/>
      <c r="AZ115" s="166" t="n"/>
      <c r="BA115" s="166" t="n"/>
      <c r="BB115" s="166" t="n"/>
      <c r="BC115" s="166" t="n"/>
      <c r="BD115" s="166" t="n"/>
      <c r="BE115" s="177" t="n"/>
      <c r="BF115" s="176" t="n"/>
      <c r="BG115" s="166" t="n"/>
      <c r="BH115" s="166" t="n"/>
      <c r="BI115" s="166" t="n"/>
      <c r="BJ115" s="166" t="n"/>
      <c r="BK115" s="166" t="n"/>
      <c r="BL115" s="166" t="n"/>
      <c r="BM115" s="166" t="n"/>
      <c r="BN115" s="166" t="n"/>
      <c r="BO115" s="166" t="n"/>
      <c r="BP115" s="166" t="n"/>
      <c r="BQ115" s="166" t="n"/>
      <c r="BR115" s="166" t="n"/>
      <c r="BS115" s="177" t="n"/>
    </row>
    <row r="116" ht="12.75" customHeight="1">
      <c r="A116" s="195" t="n"/>
      <c r="B116" s="201" t="inlineStr">
        <is>
          <t>Ferien Lukas</t>
        </is>
      </c>
      <c r="C116" s="179" t="n"/>
      <c r="D116" s="179" t="n"/>
      <c r="E116" s="179" t="n"/>
      <c r="F116" s="179" t="n"/>
      <c r="G116" s="179" t="n"/>
      <c r="H116" s="179" t="n"/>
      <c r="I116" s="179" t="n"/>
      <c r="J116" s="179" t="n"/>
      <c r="K116" s="179" t="n"/>
      <c r="L116" s="179" t="n"/>
      <c r="M116" s="179" t="n"/>
      <c r="N116" s="179" t="n"/>
      <c r="O116" s="180" t="n"/>
      <c r="P116" s="201" t="inlineStr">
        <is>
          <t>Ferien Fabian</t>
        </is>
      </c>
      <c r="Q116" s="179" t="n"/>
      <c r="R116" s="179" t="n"/>
      <c r="S116" s="179" t="n"/>
      <c r="T116" s="179" t="n"/>
      <c r="U116" s="179" t="n"/>
      <c r="V116" s="179" t="n"/>
      <c r="W116" s="179" t="n"/>
      <c r="X116" s="179" t="n"/>
      <c r="Y116" s="179" t="n"/>
      <c r="Z116" s="179" t="n"/>
      <c r="AA116" s="179" t="n"/>
      <c r="AB116" s="179" t="n"/>
      <c r="AC116" s="180" t="n"/>
      <c r="AD116" s="201" t="inlineStr">
        <is>
          <t xml:space="preserve">Ferien Fabian? </t>
        </is>
      </c>
      <c r="AE116" s="179" t="n"/>
      <c r="AF116" s="179" t="n"/>
      <c r="AG116" s="179" t="n"/>
      <c r="AH116" s="179" t="n"/>
      <c r="AI116" s="179" t="n"/>
      <c r="AJ116" s="179" t="n"/>
      <c r="AK116" s="179" t="n"/>
      <c r="AL116" s="179" t="n"/>
      <c r="AM116" s="179" t="n"/>
      <c r="AN116" s="179" t="n"/>
      <c r="AO116" s="179" t="n"/>
      <c r="AP116" s="179" t="n"/>
      <c r="AQ116" s="180" t="n"/>
      <c r="AR116" s="201" t="n"/>
      <c r="AS116" s="179" t="n"/>
      <c r="AT116" s="179" t="n"/>
      <c r="AU116" s="179" t="n"/>
      <c r="AV116" s="179" t="n"/>
      <c r="AW116" s="179" t="n"/>
      <c r="AX116" s="179" t="n"/>
      <c r="AY116" s="179" t="n"/>
      <c r="AZ116" s="179" t="n"/>
      <c r="BA116" s="179" t="n"/>
      <c r="BB116" s="179" t="n"/>
      <c r="BC116" s="179" t="n"/>
      <c r="BD116" s="179" t="n"/>
      <c r="BE116" s="180" t="n"/>
      <c r="BF116" s="201" t="n"/>
      <c r="BG116" s="179" t="n"/>
      <c r="BH116" s="179" t="n"/>
      <c r="BI116" s="179" t="n"/>
      <c r="BJ116" s="179" t="n"/>
      <c r="BK116" s="179" t="n"/>
      <c r="BL116" s="179" t="n"/>
      <c r="BM116" s="179" t="n"/>
      <c r="BN116" s="179" t="n"/>
      <c r="BO116" s="179" t="n"/>
      <c r="BP116" s="179" t="n"/>
      <c r="BQ116" s="179" t="n"/>
      <c r="BR116" s="179" t="n"/>
      <c r="BS116" s="180" t="n"/>
    </row>
    <row r="117">
      <c r="A117" s="196" t="n"/>
      <c r="B117" s="181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M117" s="182" t="n"/>
      <c r="N117" s="182" t="n"/>
      <c r="O117" s="183" t="n"/>
      <c r="P117" s="181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3" t="n"/>
      <c r="AD117" s="181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3" t="n"/>
      <c r="AR117" s="181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3" t="n"/>
      <c r="BF117" s="181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3" t="n"/>
    </row>
    <row r="118">
      <c r="A118" s="196" t="n"/>
      <c r="B118" s="181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M118" s="182" t="n"/>
      <c r="N118" s="182" t="n"/>
      <c r="O118" s="183" t="n"/>
      <c r="P118" s="181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3" t="n"/>
      <c r="AD118" s="181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3" t="n"/>
      <c r="AR118" s="181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3" t="n"/>
      <c r="BF118" s="181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3" t="n"/>
    </row>
    <row r="119">
      <c r="A119" s="196" t="n"/>
      <c r="B119" s="181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M119" s="182" t="n"/>
      <c r="N119" s="182" t="n"/>
      <c r="O119" s="183" t="n"/>
      <c r="P119" s="181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3" t="n"/>
      <c r="AD119" s="181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3" t="n"/>
      <c r="AR119" s="181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3" t="n"/>
      <c r="BF119" s="181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3" t="n"/>
    </row>
    <row r="120">
      <c r="A120" s="196" t="n"/>
      <c r="B120" s="181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M120" s="182" t="n"/>
      <c r="N120" s="182" t="n"/>
      <c r="O120" s="183" t="n"/>
      <c r="P120" s="181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3" t="n"/>
      <c r="AD120" s="181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3" t="n"/>
      <c r="AR120" s="181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3" t="n"/>
      <c r="BF120" s="181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3" t="n"/>
    </row>
    <row r="121">
      <c r="A121" s="196" t="n"/>
      <c r="B121" s="181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M121" s="182" t="n"/>
      <c r="N121" s="182" t="n"/>
      <c r="O121" s="183" t="n"/>
      <c r="P121" s="181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3" t="n"/>
      <c r="AD121" s="181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3" t="n"/>
      <c r="AR121" s="181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3" t="n"/>
      <c r="BF121" s="181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3" t="n"/>
    </row>
    <row r="122" ht="13.5" customHeight="1" thickBot="1">
      <c r="A122" s="197" t="n"/>
      <c r="B122" s="184" t="n"/>
      <c r="C122" s="185" t="n"/>
      <c r="D122" s="185" t="n"/>
      <c r="E122" s="185" t="n"/>
      <c r="F122" s="185" t="n"/>
      <c r="G122" s="185" t="n"/>
      <c r="H122" s="185" t="n"/>
      <c r="I122" s="185" t="n"/>
      <c r="J122" s="185" t="n"/>
      <c r="K122" s="185" t="n"/>
      <c r="L122" s="185" t="n"/>
      <c r="M122" s="185" t="n"/>
      <c r="N122" s="185" t="n"/>
      <c r="O122" s="186" t="n"/>
      <c r="P122" s="184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  <c r="AA122" s="185" t="n"/>
      <c r="AB122" s="185" t="n"/>
      <c r="AC122" s="186" t="n"/>
      <c r="AD122" s="184" t="n"/>
      <c r="AE122" s="185" t="n"/>
      <c r="AF122" s="185" t="n"/>
      <c r="AG122" s="185" t="n"/>
      <c r="AH122" s="185" t="n"/>
      <c r="AI122" s="185" t="n"/>
      <c r="AJ122" s="185" t="n"/>
      <c r="AK122" s="185" t="n"/>
      <c r="AL122" s="185" t="n"/>
      <c r="AM122" s="185" t="n"/>
      <c r="AN122" s="185" t="n"/>
      <c r="AO122" s="185" t="n"/>
      <c r="AP122" s="185" t="n"/>
      <c r="AQ122" s="186" t="n"/>
      <c r="AR122" s="184" t="n"/>
      <c r="AS122" s="185" t="n"/>
      <c r="AT122" s="185" t="n"/>
      <c r="AU122" s="185" t="n"/>
      <c r="AV122" s="185" t="n"/>
      <c r="AW122" s="185" t="n"/>
      <c r="AX122" s="185" t="n"/>
      <c r="AY122" s="185" t="n"/>
      <c r="AZ122" s="185" t="n"/>
      <c r="BA122" s="185" t="n"/>
      <c r="BB122" s="185" t="n"/>
      <c r="BC122" s="185" t="n"/>
      <c r="BD122" s="185" t="n"/>
      <c r="BE122" s="186" t="n"/>
      <c r="BF122" s="184" t="n"/>
      <c r="BG122" s="185" t="n"/>
      <c r="BH122" s="185" t="n"/>
      <c r="BI122" s="185" t="n"/>
      <c r="BJ122" s="185" t="n"/>
      <c r="BK122" s="185" t="n"/>
      <c r="BL122" s="185" t="n"/>
      <c r="BM122" s="185" t="n"/>
      <c r="BN122" s="185" t="n"/>
      <c r="BO122" s="185" t="n"/>
      <c r="BP122" s="185" t="n"/>
      <c r="BQ122" s="185" t="n"/>
      <c r="BR122" s="185" t="n"/>
      <c r="BS122" s="186" t="n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J4:K4"/>
    <mergeCell ref="BB4:BC4"/>
    <mergeCell ref="L4:M4"/>
    <mergeCell ref="AH114:AI114"/>
    <mergeCell ref="BL4:BM4"/>
    <mergeCell ref="BN4:BO4"/>
    <mergeCell ref="D4:E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4:Y4"/>
    <mergeCell ref="Z4:AA4"/>
    <mergeCell ref="X114:Y114"/>
    <mergeCell ref="P3:AC3"/>
    <mergeCell ref="H5:I5"/>
    <mergeCell ref="BJ5:BK5"/>
    <mergeCell ref="AD115:AQ115"/>
    <mergeCell ref="AD4:AE4"/>
    <mergeCell ref="BL5:BM5"/>
    <mergeCell ref="AV4:AW4"/>
    <mergeCell ref="N4:O4"/>
    <mergeCell ref="F4:G4"/>
    <mergeCell ref="P4:Q4"/>
    <mergeCell ref="AX4:AY4"/>
    <mergeCell ref="AD114:AE114"/>
    <mergeCell ref="BH4:BI4"/>
    <mergeCell ref="BJ4:BK4"/>
    <mergeCell ref="AX114:AY114"/>
    <mergeCell ref="AJ114:AK114"/>
    <mergeCell ref="AF4:AG4"/>
    <mergeCell ref="BP4:BQ4"/>
    <mergeCell ref="AH4:AI4"/>
    <mergeCell ref="BF3:BS3"/>
    <mergeCell ref="F114:G114"/>
    <mergeCell ref="BH114:BI114"/>
    <mergeCell ref="AZ114:BA114"/>
    <mergeCell ref="R114:S114"/>
    <mergeCell ref="BJ114:BK114"/>
    <mergeCell ref="BB114:BC114"/>
    <mergeCell ref="B1:E2"/>
    <mergeCell ref="AR1:BE2"/>
    <mergeCell ref="BF1:BS2"/>
    <mergeCell ref="L114:M114"/>
    <mergeCell ref="AF5:AG5"/>
    <mergeCell ref="Z114:AA114"/>
    <mergeCell ref="B116:O122"/>
    <mergeCell ref="AD1:AQ2"/>
    <mergeCell ref="B5:C5"/>
    <mergeCell ref="D5:E5"/>
    <mergeCell ref="BF5:BG5"/>
    <mergeCell ref="AV5:AW5"/>
    <mergeCell ref="P5:Q5"/>
    <mergeCell ref="AX5:AY5"/>
    <mergeCell ref="R5:S5"/>
    <mergeCell ref="B4:C4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R4:S4"/>
    <mergeCell ref="AB4:AC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François Borner</dc:creator>
  <dcterms:created xmlns:dcterms="http://purl.org/dc/terms/" xmlns:xsi="http://www.w3.org/2001/XMLSchema-instance" xsi:type="dcterms:W3CDTF">2021-03-21T13:44:19Z</dcterms:created>
  <dcterms:modified xmlns:dcterms="http://purl.org/dc/terms/" xmlns:xsi="http://www.w3.org/2001/XMLSchema-instance" xsi:type="dcterms:W3CDTF">2026-07-24T07:08:56Z</dcterms:modified>
  <cp:lastModifiedBy>Victor Malt</cp:lastModifiedBy>
  <cp:lastPrinted>2026-07-21T09:11:02Z</cp:lastPrinted>
</cp:coreProperties>
</file>